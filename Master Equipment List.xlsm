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af39d57a76f5d8d/Projects/Excel VBA/"/>
    </mc:Choice>
  </mc:AlternateContent>
  <xr:revisionPtr revIDLastSave="11" documentId="8_{8CE52513-5B11-495E-9F2F-5E824E23B5D9}" xr6:coauthVersionLast="47" xr6:coauthVersionMax="47" xr10:uidLastSave="{5CAB54BE-5D7F-4930-911D-CE93BAB2104E}"/>
  <bookViews>
    <workbookView xWindow="-120" yWindow="-120" windowWidth="29040" windowHeight="15990" xr2:uid="{1623B8ED-4058-46C2-9732-4346EAB4C9B4}"/>
  </bookViews>
  <sheets>
    <sheet name="Master Equipment List" sheetId="5" r:id="rId1"/>
    <sheet name="IO List" sheetId="4" r:id="rId2"/>
    <sheet name="P&amp;ID Tag List" sheetId="1" r:id="rId3"/>
    <sheet name="P&amp;ID Loops" sheetId="6" r:id="rId4"/>
    <sheet name="Utility Load Table" sheetId="2" r:id="rId5"/>
    <sheet name="Heat Load &amp; Noise" sheetId="3" r:id="rId6"/>
    <sheet name="Part Compliance" sheetId="7" r:id="rId7"/>
    <sheet name="All_BOM_Parts" sheetId="8" r:id="rId8"/>
  </sheets>
  <functionGroups builtInGroupCount="19"/>
  <definedNames>
    <definedName name="_xleta.T" hidden="1" xlm="1">#NAME?</definedName>
    <definedName name="_xlpm.eff" hidden="1" xlm="1">#NAME?</definedName>
    <definedName name="_xlpm.loc" hidden="1" xlm="1">#NAME?</definedName>
    <definedName name="_xlpm.lossW" hidden="1" xlm="1">#NAME?</definedName>
    <definedName name="_xlpm.pwr" hidden="1" xlm="1">#NAME?</definedName>
    <definedName name="_xlpm.qty" hidden="1" xlm="1">#NAME?</definedName>
    <definedName name="_xlpm.u" hidden="1" xlm="1">#NAME?</definedName>
    <definedName name="_xlpm.val" hidden="1" xlm="1">#NAME?</definedName>
    <definedName name="Amb_Plant_Temp">'Heat Load &amp; Noise'!#REF!</definedName>
    <definedName name="DropboxStatus">'Master Equipment List'!$E$6</definedName>
    <definedName name="ExternalData_1" localSheetId="7" hidden="1">All_BOM_Parts!$A$3:$K$226</definedName>
    <definedName name="Last_Synced">'Master Equipment List'!$C$7</definedName>
    <definedName name="Max_Amb_Plant_Temp">'Heat Load &amp; Noise'!$H$2</definedName>
    <definedName name="Proj_Customer">'Master Equipment List'!$C$3</definedName>
    <definedName name="Proj_Folder">'Master Equipment List'!$C$6</definedName>
    <definedName name="Proj_Misc">'Master Equipment List'!$C$7</definedName>
    <definedName name="Proj_Name">'Master Equipment List'!$C$4</definedName>
    <definedName name="Proj_Number">'Master Equipment List'!$C$2</definedName>
    <definedName name="Proj_Specifications">'Master Equipment List'!$C$5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2" l="1"/>
  <c r="A9" i="6"/>
  <c r="A9" i="1"/>
  <c r="A10" i="4"/>
  <c r="A9" i="5"/>
  <c r="N37" i="3" l="1" a="1"/>
  <c r="N37" i="3" s="1"/>
  <c r="N36" i="3" a="1"/>
  <c r="N36" i="3" s="1"/>
  <c r="N35" i="3" a="1"/>
  <c r="N35" i="3" s="1"/>
  <c r="N34" i="3" a="1"/>
  <c r="N34" i="3" s="1"/>
  <c r="N33" i="3" a="1"/>
  <c r="N33" i="3" s="1"/>
  <c r="N31" i="3" a="1"/>
  <c r="N31" i="3" s="1"/>
  <c r="N30" i="3" a="1"/>
  <c r="N30" i="3" s="1"/>
  <c r="N27" i="3" a="1"/>
  <c r="N27" i="3" s="1"/>
  <c r="N26" i="3" a="1"/>
  <c r="N26" i="3" s="1"/>
  <c r="M12" i="2" l="1"/>
  <c r="N20" i="3" l="1" a="1"/>
  <c r="N20" i="3" s="1"/>
  <c r="N21" i="3" a="1"/>
  <c r="N21" i="3" s="1"/>
  <c r="N22" i="3" a="1"/>
  <c r="N22" i="3" s="1"/>
  <c r="N23" i="3" a="1"/>
  <c r="N23" i="3" s="1"/>
  <c r="N24" i="3" a="1"/>
  <c r="N24" i="3" s="1"/>
  <c r="N25" i="3" a="1"/>
  <c r="N25" i="3" s="1"/>
  <c r="N28" i="3" a="1"/>
  <c r="N28" i="3" s="1"/>
  <c r="N29" i="3" a="1"/>
  <c r="N29" i="3" s="1"/>
  <c r="N32" i="3" a="1"/>
  <c r="N32" i="3" s="1"/>
  <c r="N38" i="3" a="1"/>
  <c r="N38" i="3" s="1"/>
  <c r="N39" i="3" a="1"/>
  <c r="N39" i="3" s="1"/>
  <c r="N40" i="3" a="1"/>
  <c r="N40" i="3" s="1"/>
  <c r="N41" i="3" a="1"/>
  <c r="N41" i="3" s="1"/>
  <c r="N42" i="3" a="1"/>
  <c r="N42" i="3" s="1"/>
  <c r="N43" i="3" a="1"/>
  <c r="N43" i="3" s="1"/>
  <c r="N44" i="3" a="1"/>
  <c r="N44" i="3" s="1"/>
  <c r="N45" i="3" a="1"/>
  <c r="N45" i="3" s="1"/>
  <c r="N46" i="3" a="1"/>
  <c r="N46" i="3" s="1"/>
  <c r="N47" i="3" a="1"/>
  <c r="N47" i="3" s="1"/>
  <c r="N48" i="3" a="1"/>
  <c r="N48" i="3" s="1"/>
  <c r="N49" i="3" a="1"/>
  <c r="N49" i="3" s="1"/>
  <c r="N50" i="3" a="1"/>
  <c r="N50" i="3" s="1"/>
  <c r="N51" i="3" a="1"/>
  <c r="N51" i="3" s="1"/>
  <c r="N52" i="3" a="1"/>
  <c r="N52" i="3" s="1"/>
  <c r="N53" i="3" a="1"/>
  <c r="N53" i="3" s="1"/>
  <c r="N54" i="3" a="1"/>
  <c r="N54" i="3" s="1"/>
  <c r="N55" i="3" a="1"/>
  <c r="N55" i="3" s="1"/>
  <c r="N56" i="3" a="1"/>
  <c r="N56" i="3" s="1"/>
  <c r="N57" i="3" a="1"/>
  <c r="N57" i="3" s="1"/>
  <c r="N58" i="3" a="1"/>
  <c r="N58" i="3" s="1"/>
  <c r="N59" i="3" a="1"/>
  <c r="N59" i="3" s="1"/>
  <c r="N60" i="3" a="1"/>
  <c r="N60" i="3" s="1"/>
  <c r="N61" i="3" a="1"/>
  <c r="N61" i="3" s="1"/>
  <c r="N62" i="3" a="1"/>
  <c r="N62" i="3" s="1"/>
  <c r="N63" i="3" a="1"/>
  <c r="N63" i="3" s="1"/>
  <c r="N64" i="3" a="1"/>
  <c r="N64" i="3" s="1"/>
  <c r="N65" i="3" a="1"/>
  <c r="N65" i="3" s="1"/>
  <c r="N66" i="3" a="1"/>
  <c r="N66" i="3" s="1"/>
  <c r="N67" i="3" a="1"/>
  <c r="N67" i="3" s="1"/>
  <c r="N68" i="3" a="1"/>
  <c r="N68" i="3" s="1"/>
  <c r="N69" i="3" a="1"/>
  <c r="N69" i="3" s="1"/>
  <c r="N70" i="3" a="1"/>
  <c r="N70" i="3" s="1"/>
  <c r="N71" i="3" a="1"/>
  <c r="N71" i="3" s="1"/>
  <c r="N72" i="3" a="1"/>
  <c r="N72" i="3" s="1"/>
  <c r="N73" i="3" a="1"/>
  <c r="N73" i="3" s="1"/>
  <c r="N74" i="3" a="1"/>
  <c r="N74" i="3" s="1"/>
  <c r="N75" i="3" a="1"/>
  <c r="N75" i="3" s="1"/>
  <c r="N76" i="3" a="1"/>
  <c r="N76" i="3" s="1"/>
  <c r="N77" i="3" a="1"/>
  <c r="N77" i="3" s="1"/>
  <c r="N78" i="3" a="1"/>
  <c r="N78" i="3" s="1"/>
  <c r="N79" i="3" a="1"/>
  <c r="N79" i="3" s="1"/>
  <c r="N80" i="3" a="1"/>
  <c r="N80" i="3" s="1"/>
  <c r="N81" i="3" a="1"/>
  <c r="N81" i="3" s="1"/>
  <c r="N82" i="3" a="1"/>
  <c r="N82" i="3" s="1"/>
  <c r="N83" i="3" a="1"/>
  <c r="N83" i="3" s="1"/>
  <c r="N84" i="3" a="1"/>
  <c r="N84" i="3" s="1"/>
  <c r="N85" i="3" a="1"/>
  <c r="N85" i="3" s="1"/>
  <c r="N86" i="3" a="1"/>
  <c r="N86" i="3" s="1"/>
  <c r="N87" i="3" a="1"/>
  <c r="N87" i="3" s="1"/>
  <c r="N88" i="3" a="1"/>
  <c r="N88" i="3" s="1"/>
  <c r="N89" i="3" a="1"/>
  <c r="N89" i="3" s="1"/>
  <c r="K11" i="3" l="1" a="1"/>
  <c r="K11" i="3" s="1"/>
  <c r="K9" i="3" a="1"/>
  <c r="K9" i="3" s="1"/>
  <c r="M9" i="3" s="1"/>
  <c r="K10" i="3" a="1"/>
  <c r="K10" i="3" s="1"/>
  <c r="K12" i="3" a="1"/>
  <c r="K12" i="3" s="1"/>
  <c r="K13" i="3" a="1"/>
  <c r="K13" i="3" s="1"/>
  <c r="K14" i="3" a="1"/>
  <c r="K14" i="3" s="1"/>
  <c r="C6" i="4" l="1"/>
  <c r="C2" i="4"/>
  <c r="I13" i="3" l="1"/>
  <c r="J13" i="3"/>
  <c r="H5" i="3"/>
  <c r="I10" i="3"/>
  <c r="I11" i="3"/>
  <c r="I12" i="3"/>
  <c r="I14" i="3"/>
  <c r="J10" i="3"/>
  <c r="J11" i="3"/>
  <c r="J12" i="3"/>
  <c r="J14" i="3"/>
  <c r="L10" i="3" l="1"/>
  <c r="M10" i="3" s="1"/>
  <c r="L13" i="3"/>
  <c r="M13" i="3" s="1"/>
  <c r="L14" i="3"/>
  <c r="M14" i="3" s="1"/>
  <c r="L12" i="3"/>
  <c r="M12" i="3" s="1"/>
  <c r="L11" i="3"/>
  <c r="M11" i="3" s="1"/>
  <c r="H4" i="3" l="1"/>
  <c r="C6" i="7" l="1"/>
  <c r="C5" i="7"/>
  <c r="C4" i="7"/>
  <c r="C3" i="7"/>
  <c r="C2" i="7"/>
  <c r="C6" i="3"/>
  <c r="C5" i="3"/>
  <c r="C4" i="3"/>
  <c r="C3" i="3"/>
  <c r="C2" i="3"/>
  <c r="C6" i="2"/>
  <c r="C5" i="2"/>
  <c r="C4" i="2"/>
  <c r="C3" i="2"/>
  <c r="C2" i="2"/>
  <c r="C6" i="6"/>
  <c r="C5" i="6"/>
  <c r="C4" i="6"/>
  <c r="C3" i="6"/>
  <c r="C2" i="6"/>
  <c r="C6" i="1"/>
  <c r="C5" i="1"/>
  <c r="C4" i="1"/>
  <c r="C3" i="1"/>
  <c r="C2" i="1"/>
  <c r="C5" i="4"/>
  <c r="C4" i="4"/>
  <c r="C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5C4242-B3E9-47C2-A59D-0E299FED1C40}" keepAlive="1" name="Query - All_BOM_Parts" description="Connection to the 'All_BOM_Parts' query in the workbook." type="5" refreshedVersion="8" background="1" saveData="1">
    <dbPr connection="Provider=Microsoft.Mashup.OleDb.1;Data Source=$Workbook$;Location=All_BOM_Parts;Extended Properties=&quot;&quot;" command="SELECT * FROM [All_BOM_Par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<sst xmlns="http://schemas.openxmlformats.org/spreadsheetml/2006/main" count="6257" uniqueCount="1689">
  <si>
    <t>Manufacturer</t>
  </si>
  <si>
    <t>Part Number</t>
  </si>
  <si>
    <t>Description</t>
  </si>
  <si>
    <t>Notes</t>
  </si>
  <si>
    <t>001</t>
  </si>
  <si>
    <t>IFM</t>
  </si>
  <si>
    <t>DV1104</t>
  </si>
  <si>
    <t>ZSS-004</t>
  </si>
  <si>
    <t>004</t>
  </si>
  <si>
    <t>ZSS-005</t>
  </si>
  <si>
    <t>005</t>
  </si>
  <si>
    <t>ZSS-006</t>
  </si>
  <si>
    <t>006</t>
  </si>
  <si>
    <t>SC-100</t>
  </si>
  <si>
    <t>ROCKWELL</t>
  </si>
  <si>
    <t>20P41AD495RA0NNN</t>
  </si>
  <si>
    <t>HMI05140</t>
  </si>
  <si>
    <t>2711P-T19C22D9P</t>
  </si>
  <si>
    <t>LIT-201</t>
  </si>
  <si>
    <t>LT8024</t>
  </si>
  <si>
    <t>TIT-202</t>
  </si>
  <si>
    <t>TN2603</t>
  </si>
  <si>
    <t>PN2670</t>
  </si>
  <si>
    <t>PSV-302</t>
  </si>
  <si>
    <t>SUN</t>
  </si>
  <si>
    <t>RDHA-LSN-IAN</t>
  </si>
  <si>
    <t>PDS-303</t>
  </si>
  <si>
    <t>DONALDSON</t>
  </si>
  <si>
    <t>P567987</t>
  </si>
  <si>
    <t>PARKER</t>
  </si>
  <si>
    <t>N400S4F</t>
  </si>
  <si>
    <t>IFS316</t>
  </si>
  <si>
    <t>PRV-401</t>
  </si>
  <si>
    <t>PSV-403</t>
  </si>
  <si>
    <t>RDFA-LCN-CAM/S</t>
  </si>
  <si>
    <t>PDS-404</t>
  </si>
  <si>
    <t>HELM</t>
  </si>
  <si>
    <t>HCSO5-1500T</t>
  </si>
  <si>
    <t>PCV-408</t>
  </si>
  <si>
    <t>ATOS</t>
  </si>
  <si>
    <t>DPZO-LEB-SN-NP-270-L3</t>
  </si>
  <si>
    <t>MTS</t>
  </si>
  <si>
    <t>XSV-412</t>
  </si>
  <si>
    <t>PSV-413</t>
  </si>
  <si>
    <t>PG-414</t>
  </si>
  <si>
    <t>NOSHOK</t>
  </si>
  <si>
    <t>25-901-6000-psi/bar</t>
  </si>
  <si>
    <t>ZSV-415</t>
  </si>
  <si>
    <t>ZSV-416</t>
  </si>
  <si>
    <t>PSV-417</t>
  </si>
  <si>
    <t>RDFA-LCN</t>
  </si>
  <si>
    <t>PSV-418</t>
  </si>
  <si>
    <t>PRV-501</t>
  </si>
  <si>
    <t>PSV-503</t>
  </si>
  <si>
    <t>PDS-504</t>
  </si>
  <si>
    <t>PCV-508</t>
  </si>
  <si>
    <t>XSV-512</t>
  </si>
  <si>
    <t>PSV-513</t>
  </si>
  <si>
    <t>PG-514</t>
  </si>
  <si>
    <t>ZSV-515</t>
  </si>
  <si>
    <t>ZSV-516</t>
  </si>
  <si>
    <t>PSV-517</t>
  </si>
  <si>
    <t>PSV-518</t>
  </si>
  <si>
    <t>PRV-600</t>
  </si>
  <si>
    <t>FESTO</t>
  </si>
  <si>
    <t>ZV-610</t>
  </si>
  <si>
    <t>ZS-611</t>
  </si>
  <si>
    <t>MR0107</t>
  </si>
  <si>
    <t>ZV-620</t>
  </si>
  <si>
    <t>PRV-621</t>
  </si>
  <si>
    <t>ZS-623</t>
  </si>
  <si>
    <t>ZV-630</t>
  </si>
  <si>
    <t>ZS-631</t>
  </si>
  <si>
    <t>ZV-640</t>
  </si>
  <si>
    <t>PRV-641</t>
  </si>
  <si>
    <t>ZS-643</t>
  </si>
  <si>
    <t>ZS-700</t>
  </si>
  <si>
    <t>ZS-701</t>
  </si>
  <si>
    <t>TT-702</t>
  </si>
  <si>
    <t>TW2003</t>
  </si>
  <si>
    <t>TT-703</t>
  </si>
  <si>
    <t>ZS-704</t>
  </si>
  <si>
    <t>ZS-705</t>
  </si>
  <si>
    <t>PB09038</t>
  </si>
  <si>
    <t>PB09140</t>
  </si>
  <si>
    <t>PB09134</t>
  </si>
  <si>
    <t>PB09137</t>
  </si>
  <si>
    <t>20-HIM-C6S</t>
  </si>
  <si>
    <t>LG-200</t>
  </si>
  <si>
    <t>LDI Insustries</t>
  </si>
  <si>
    <t>V100300-AG</t>
  </si>
  <si>
    <t>THERMAL TRANSFER</t>
  </si>
  <si>
    <t>AOC-70-2-60-3PH</t>
  </si>
  <si>
    <t>WEG</t>
  </si>
  <si>
    <t>00718ET3E213TC-W22</t>
  </si>
  <si>
    <t>T7DSB351R00A100</t>
  </si>
  <si>
    <t>HYDAC</t>
  </si>
  <si>
    <t>C5V12-610B1</t>
  </si>
  <si>
    <t>HUNGER HYDRAULICS</t>
  </si>
  <si>
    <t>DAMAN</t>
  </si>
  <si>
    <t>10018ET3E405TC-W22</t>
  </si>
  <si>
    <t>SAF32E16Y1-N350F-S309L</t>
  </si>
  <si>
    <t>KHM-40SAE-1112-06X-A-I-1.300-SO760</t>
  </si>
  <si>
    <t>PV063R1D31NMMW</t>
  </si>
  <si>
    <t>DSNA-N-2 1/2"-4-PPVA-N5-MF2</t>
  </si>
  <si>
    <t>P&amp;ID Tag</t>
  </si>
  <si>
    <t>ELEC Tags</t>
  </si>
  <si>
    <t>HYD Tags</t>
  </si>
  <si>
    <t>PNU Tags</t>
  </si>
  <si>
    <t>Power</t>
  </si>
  <si>
    <t>120VAC:</t>
  </si>
  <si>
    <t>PSI</t>
  </si>
  <si>
    <t>480VAC(Δ):</t>
  </si>
  <si>
    <t>Shop Air:</t>
  </si>
  <si>
    <t>Voltage</t>
  </si>
  <si>
    <t>Phase</t>
  </si>
  <si>
    <t>F.L.A.</t>
  </si>
  <si>
    <t>Duty Cycle</t>
  </si>
  <si>
    <t>CFM</t>
  </si>
  <si>
    <t>Power (W)</t>
  </si>
  <si>
    <t>External Feed Requirements:</t>
  </si>
  <si>
    <t>Load Devices</t>
  </si>
  <si>
    <t>Electrical Load</t>
  </si>
  <si>
    <t>Pneumatic Load</t>
  </si>
  <si>
    <t>480VAC/60Hz/3P(Δ), 1200 AMP</t>
  </si>
  <si>
    <t>N/A</t>
  </si>
  <si>
    <t>Internally Supplied w/ Transformer</t>
  </si>
  <si>
    <t>480VAC</t>
  </si>
  <si>
    <t>480VAC Load Balance</t>
  </si>
  <si>
    <t>Power Units</t>
  </si>
  <si>
    <t>Include in Heat Load &amp; Noise Table?</t>
  </si>
  <si>
    <t>1321-3TH330-BB</t>
  </si>
  <si>
    <t>ACU04010</t>
  </si>
  <si>
    <t>ICEQUBE</t>
  </si>
  <si>
    <t>IQ1800VS-480</t>
  </si>
  <si>
    <t>TF04510</t>
  </si>
  <si>
    <t>TF04710</t>
  </si>
  <si>
    <t>PHOENIX CONTACT</t>
  </si>
  <si>
    <t>PSU05010</t>
  </si>
  <si>
    <t>Include in I/O List?</t>
  </si>
  <si>
    <t>Control Vairable</t>
  </si>
  <si>
    <t>(HSS Estop buttons)</t>
  </si>
  <si>
    <t>Drive Perimeter Fence Open</t>
  </si>
  <si>
    <t>Entry Perimeter Fence Open</t>
  </si>
  <si>
    <t>Exit Perimeter Fence Open</t>
  </si>
  <si>
    <t>USC-001
(Safety PLC Program)</t>
  </si>
  <si>
    <t>Again, not sure about the loop numbering for this</t>
  </si>
  <si>
    <t>Top Roll Speed</t>
  </si>
  <si>
    <t>Btm Roll Speed</t>
  </si>
  <si>
    <t>Instrumentation
(Sensors &amp; I/O)</t>
  </si>
  <si>
    <t>110</t>
  </si>
  <si>
    <t>010</t>
  </si>
  <si>
    <t>(HMI Display)</t>
  </si>
  <si>
    <t>Again, not sure about the loop numbering for this, general I/O instrumentation that controls everything.</t>
  </si>
  <si>
    <t>Instrumentation Loop #</t>
  </si>
  <si>
    <t>Tank Level Low Switch (Alarm)</t>
  </si>
  <si>
    <t>Tank Temp High Switch (Alarm)</t>
  </si>
  <si>
    <t>LSC-201 (PLC Safety)</t>
  </si>
  <si>
    <t>TSC-202 (PLC Safety),
TI-202 (HMI)</t>
  </si>
  <si>
    <t>HYD Fluid Temp</t>
  </si>
  <si>
    <t>TE-300, TIT-300</t>
  </si>
  <si>
    <t>SC-110</t>
  </si>
  <si>
    <t>TIC-300</t>
  </si>
  <si>
    <t>HEX-300, MTR-300, MTR-301, MTR-302</t>
  </si>
  <si>
    <t>Trigger alarm if fluid level gets too low</t>
  </si>
  <si>
    <t>Trigger alarm if fluid temp exceeds limit (&gt;120°F = Temp High Warning, &gt;140°F = Temp ALARM)</t>
  </si>
  <si>
    <t>If fluid temp gets high, turn on kidney loop pump and heat exchanger (&lt;110°F turn off, &gt;110°F = turn on). Temp also displayed on HMI.</t>
  </si>
  <si>
    <t>PE-301, PIT-301</t>
  </si>
  <si>
    <t>PE-402, PIT-402</t>
  </si>
  <si>
    <t>PE-409, PIT-409</t>
  </si>
  <si>
    <t>PE-410, PIT-410</t>
  </si>
  <si>
    <t>PI-301</t>
  </si>
  <si>
    <t>Safety Relief - Self actuated: set at 150psi to 200psi</t>
  </si>
  <si>
    <t>Triggers at 70psid across filter</t>
  </si>
  <si>
    <t>PSI-303</t>
  </si>
  <si>
    <t>FIC-400</t>
  </si>
  <si>
    <t>XV-400, MTR-400, VDP-400</t>
  </si>
  <si>
    <t>When pump on signal is received, close the bypass valve and turn on motor/pump.</t>
  </si>
  <si>
    <t>FIC-500</t>
  </si>
  <si>
    <t>XV-500, MTR-500, VDP-500</t>
  </si>
  <si>
    <t>Self Actuated, controls pressure setpoint for pump output.</t>
  </si>
  <si>
    <t>Main System</t>
  </si>
  <si>
    <t>HYD - DR Cylinder</t>
  </si>
  <si>
    <t>HYD - Kidney Loop</t>
  </si>
  <si>
    <t>ELEC - Top Roll</t>
  </si>
  <si>
    <t>ELEC - Btm Roll</t>
  </si>
  <si>
    <t>ELEC - Safety</t>
  </si>
  <si>
    <t>HYD - OP Cylinder</t>
  </si>
  <si>
    <t>PNU - Top Roll Wiper Pivot</t>
  </si>
  <si>
    <t>PNU - General</t>
  </si>
  <si>
    <t>PNU - Top Roll Wiper Pressure</t>
  </si>
  <si>
    <t>PNU - Btm Roll Wiper Pivot</t>
  </si>
  <si>
    <t>PNU - Btm Roll Wiper Pressure</t>
  </si>
  <si>
    <t>ELEC - General</t>
  </si>
  <si>
    <t>Pump Pressure</t>
  </si>
  <si>
    <t>Pump On / Flow</t>
  </si>
  <si>
    <t>Pressure Relief</t>
  </si>
  <si>
    <t>Kidney Loop Pressure Display to HMI</t>
  </si>
  <si>
    <t>HYD - General / Tank</t>
  </si>
  <si>
    <t>Tank Level (Gauge)</t>
  </si>
  <si>
    <t>PI-402</t>
  </si>
  <si>
    <t>DR Cylinder Pump Pressure Display to HMI</t>
  </si>
  <si>
    <t>Safety Relief - Self actuated: set at 4650psi</t>
  </si>
  <si>
    <t>PSI-404</t>
  </si>
  <si>
    <t>Filter Dirty
(Differential Pressure)</t>
  </si>
  <si>
    <t>Pump Shutoff Valve Closed</t>
  </si>
  <si>
    <t>ZS-405</t>
  </si>
  <si>
    <t>ZS-406</t>
  </si>
  <si>
    <t>ZS-407</t>
  </si>
  <si>
    <t>ZS-505</t>
  </si>
  <si>
    <t>ZSC-405</t>
  </si>
  <si>
    <t>PC-405</t>
  </si>
  <si>
    <t>If Shutoff valve is closed, trigger alarm (stops pump or opens pump standby valve) and stops servo controller.</t>
  </si>
  <si>
    <t>Cylinder Feed
Shutoff Valve Closed</t>
  </si>
  <si>
    <t>ZSC-406</t>
  </si>
  <si>
    <t>PC-406</t>
  </si>
  <si>
    <t>Cylinder Return
Shutoff Valve Closed</t>
  </si>
  <si>
    <t>ZSC-407</t>
  </si>
  <si>
    <t>PC-407</t>
  </si>
  <si>
    <t>Force Control</t>
  </si>
  <si>
    <t>PC-408, PC-409, PC-410, PC-411</t>
  </si>
  <si>
    <t>PE-408, ZT-411, ZS-411, PIT-409, PIT-410</t>
  </si>
  <si>
    <t>Cylinder Cap Pressure</t>
  </si>
  <si>
    <t>Cylinder Rod Pressure</t>
  </si>
  <si>
    <t>PE-502, PIT-502</t>
  </si>
  <si>
    <t>Sent to Delta Servo Controller as redundant feedback and sent to PLC / HMI display.</t>
  </si>
  <si>
    <t>DR Roll Position</t>
  </si>
  <si>
    <t>ZS-411, ZT-411</t>
  </si>
  <si>
    <t>ZS-411 is the upper limit switch
ZT-411 is the linear position transducer</t>
  </si>
  <si>
    <t>ZC-411</t>
  </si>
  <si>
    <t>ZIC-411</t>
  </si>
  <si>
    <t>PC-410</t>
  </si>
  <si>
    <t>PC-409</t>
  </si>
  <si>
    <t>PIC-409</t>
  </si>
  <si>
    <t>PIC-410</t>
  </si>
  <si>
    <t>Accumulator Pressure Dump</t>
  </si>
  <si>
    <t>PSC-412</t>
  </si>
  <si>
    <t>Valve is de-energized to dump accumulator pressure to tank (when power is lost or for safety events)</t>
  </si>
  <si>
    <t>Safety Relief - Self actuated: set at 4650psi (Tosoh didn’t have a PSI labeled, I assume its 4650)</t>
  </si>
  <si>
    <t>Accumulator Pressure Relief</t>
  </si>
  <si>
    <t>Accumulator Pressure (Gauge)</t>
  </si>
  <si>
    <t>Cylinder Cap Locking Check</t>
  </si>
  <si>
    <t>Cylinder Rod Locking Check</t>
  </si>
  <si>
    <t>ZSC-415</t>
  </si>
  <si>
    <t>ZSC-416</t>
  </si>
  <si>
    <t>ZSC-505</t>
  </si>
  <si>
    <t>ZSC-506</t>
  </si>
  <si>
    <t>ZSC-507</t>
  </si>
  <si>
    <t>Locks the fluid in the cap side of the cylinder to prevent movement when roll is stopped or power is lost (normally closed).
NOTE: the pressure relief (PSV-417) is located between the cylinder and the locking check valve, so if Cap pressure exceeds 4650psi while locked (due to temp, shock, or load) it will still relieve pressure to that SP. The Cap pressure sensor (PE-409) is also located between the Cylinder and locking check)</t>
  </si>
  <si>
    <t>Locks the fluid in the Rod side of the cylinder to prevent movement when roll is stopped or power is lost (normally closed).
NOTE: the pressure relief (PSV-418) is located between the cylinder and the locking check valve, so if Rod pressure exceeds 4650psi while locked (due to temp, shock, or load) it will still relieve pressure to that SP. The Rod pressure sensor (PE-410) is also located between the Cylinder and locking check)</t>
  </si>
  <si>
    <t>Cylinder Cap Pressure Relief</t>
  </si>
  <si>
    <t>Cylinder Rod Pressure Relief</t>
  </si>
  <si>
    <t>Safety Relief - Self actuated: set at 4650psi. Local relief that protects Rod pressure from Load, Temp rise, and shocks.</t>
  </si>
  <si>
    <t>Safety Relief - Self actuated: set at 4650psi. Local relief that protects Cap pressure from Load, Temp rise, and shocks.</t>
  </si>
  <si>
    <t>PI-502</t>
  </si>
  <si>
    <t>PSI-504</t>
  </si>
  <si>
    <t>PC-505</t>
  </si>
  <si>
    <t>PC-506</t>
  </si>
  <si>
    <t>ZS-506</t>
  </si>
  <si>
    <t>ZS-507</t>
  </si>
  <si>
    <t>PC-507</t>
  </si>
  <si>
    <t>PC-508, PC-509, PC-510, PC-511</t>
  </si>
  <si>
    <t>Load Cell, Cap / Rod pressures, and position sensors are used to control the DR Cylinder force output (since applying force handles positioning AND force when loaded against material).
Load Cell is the primary control variable, but the other sensors also send data that this control loop uses for regulating force output via the servoproportional valve.</t>
  </si>
  <si>
    <t>PE-508, ZT-511, ZS-511, PIT-509, PIT-510</t>
  </si>
  <si>
    <t>PE-509, PIT-509</t>
  </si>
  <si>
    <t>PIC-509</t>
  </si>
  <si>
    <t>PC-509</t>
  </si>
  <si>
    <t>PC-510</t>
  </si>
  <si>
    <t>PIC-510</t>
  </si>
  <si>
    <t>PE-510, PIT-510</t>
  </si>
  <si>
    <t>ZS-511, ZT-511</t>
  </si>
  <si>
    <t>ZIC-511</t>
  </si>
  <si>
    <t>ZC-511</t>
  </si>
  <si>
    <t>ZS-511 is the upper limit switch
ZT-511 is the linear position transducer</t>
  </si>
  <si>
    <t>PSC-512</t>
  </si>
  <si>
    <t>ZSC-515</t>
  </si>
  <si>
    <t>ZSC-516</t>
  </si>
  <si>
    <t>Locks the fluid in the Rod side of the cylinder to prevent movement when roll is stopped or power is lost (normally closed).
NOTE: the pressure relief (PSV-518) is located between the cylinder and the locking check valve, so if Rod pressure exceeds 4650psi while locked (due to temp, shock, or load) it will still relieve pressure to that SP. The Rod pressure sensor (PE-510) is also located between the Cylinder and locking check)</t>
  </si>
  <si>
    <t>Locks the fluid in the cap side of the cylinder to prevent movement when roll is stopped or power is lost (normally closed).
NOTE: the pressure relief (PSV-517) is located between the cylinder and the locking check valve, so if Cap pressure exceeds 4650psi while locked (due to temp, shock, or load) it will still relieve pressure to that SP. The Cap pressure sensor (PE-509) is also located between the Cylinder and locking check)</t>
  </si>
  <si>
    <t>MTR-100, BLW-100</t>
  </si>
  <si>
    <t>MTR-110, BLW-110</t>
  </si>
  <si>
    <t>Encoder + PLC input controls the speed setpoint sent to the DC drive (SC-100) to control the motor / roll speed. Blower is always on when motor is on.</t>
  </si>
  <si>
    <t>Encoder + PLC input controls the speed setpoint sent to the DC drive (SC-110) to control the motor / roll speed. Blower is always on when motor is on.</t>
  </si>
  <si>
    <t>manual analog fluid level sight gauge</t>
  </si>
  <si>
    <t>Manual sight gauge for line / accumulator pressure.</t>
  </si>
  <si>
    <t>Pressure Regulator - self actuated: set at 80psi (100psi is the MAX allowed based on downstream equipment)</t>
  </si>
  <si>
    <t>Main Feed Pressure Feedback</t>
  </si>
  <si>
    <t>PE-601, PIT-601</t>
  </si>
  <si>
    <t>PE-622, PIT-622</t>
  </si>
  <si>
    <t>PI-601</t>
  </si>
  <si>
    <t>Main Feed Pressure feedback to HMI</t>
  </si>
  <si>
    <t>ZIC-610</t>
  </si>
  <si>
    <t>ZIC-611</t>
  </si>
  <si>
    <t>ZIC-612</t>
  </si>
  <si>
    <t>ZIC-620</t>
  </si>
  <si>
    <t>ZIC-623</t>
  </si>
  <si>
    <t>ZIC-630</t>
  </si>
  <si>
    <t>ZIC-631</t>
  </si>
  <si>
    <t>ZIC-632</t>
  </si>
  <si>
    <t>Valve In/Out Position</t>
  </si>
  <si>
    <t>ZIC-640</t>
  </si>
  <si>
    <t>Valve controls wiper pivot in/out position</t>
  </si>
  <si>
    <t>Extended Position Switch</t>
  </si>
  <si>
    <t>Retracted Position Switch</t>
  </si>
  <si>
    <t>PLC Feedback on pivot cylinder position (Wiper Pressure Out/Retracted)</t>
  </si>
  <si>
    <t>PLC Feedback on pivot cylinder position (Wiper Pivot Out/Retracted)</t>
  </si>
  <si>
    <t>PLC Feedback on pivot cylinder position (Wiper Pivot In/Extended)</t>
  </si>
  <si>
    <t>Valve controls wiper pressure (In/Extended w/ Pressure) or wiper retracted (Out/Retracted) position</t>
  </si>
  <si>
    <t>Pressure Regulator - self actuated: Adjust to set wiper pressure against roll.</t>
  </si>
  <si>
    <t>Displays wiper pressure to PLC/HMI</t>
  </si>
  <si>
    <t>PI-622</t>
  </si>
  <si>
    <t>Extended Wiper Pressure (Regulator)</t>
  </si>
  <si>
    <t>Wiper Pressure Feedback</t>
  </si>
  <si>
    <t>Main PNU Feed Pressure (Regulator)</t>
  </si>
  <si>
    <t>PE-642, PIT-642</t>
  </si>
  <si>
    <t>PI-642</t>
  </si>
  <si>
    <t>ZIC-643</t>
  </si>
  <si>
    <t>Entry Part Present</t>
  </si>
  <si>
    <t>ZIC-700</t>
  </si>
  <si>
    <t>ZIC-701</t>
  </si>
  <si>
    <t>ZIC-704</t>
  </si>
  <si>
    <t>ZIC-705</t>
  </si>
  <si>
    <t>Exit Part Present</t>
  </si>
  <si>
    <t>Entry Apron Crash Detected</t>
  </si>
  <si>
    <t>Exit Apron Crash Detected</t>
  </si>
  <si>
    <t>Top Roll Temp</t>
  </si>
  <si>
    <t>Btm Roll Temp</t>
  </si>
  <si>
    <t>TIC-702</t>
  </si>
  <si>
    <t>TIC-703</t>
  </si>
  <si>
    <t>PLC, HMI, DSC, SIS, Drive, etc.</t>
  </si>
  <si>
    <t>Master Equipment List Item</t>
  </si>
  <si>
    <t>Source</t>
  </si>
  <si>
    <t>QTY</t>
  </si>
  <si>
    <t>Removed from BOM</t>
  </si>
  <si>
    <t>ELEC Tag</t>
  </si>
  <si>
    <t>I/O Controller</t>
  </si>
  <si>
    <t>Loop / Equipment #</t>
  </si>
  <si>
    <t>Instrument / Equipment?</t>
  </si>
  <si>
    <t>Final Control Element(s)</t>
  </si>
  <si>
    <t>Loop Description &amp; Notes</t>
  </si>
  <si>
    <t>P&amp;ID Tags</t>
  </si>
  <si>
    <t>HYD Tag</t>
  </si>
  <si>
    <t>PNU Tag</t>
  </si>
  <si>
    <t>600HP Face Reversing 4H Rolling Mill</t>
  </si>
  <si>
    <t>Project Information</t>
  </si>
  <si>
    <t>Project Number:</t>
  </si>
  <si>
    <t>Customer:</t>
  </si>
  <si>
    <t>Name:</t>
  </si>
  <si>
    <t>Disconnect Rating:</t>
  </si>
  <si>
    <t>Last Synced:</t>
  </si>
  <si>
    <t>Project Name:</t>
  </si>
  <si>
    <t>Noise (dB)</t>
  </si>
  <si>
    <t>Location / Cabinet</t>
  </si>
  <si>
    <t>MCC</t>
  </si>
  <si>
    <t>OS1</t>
  </si>
  <si>
    <t>CC1</t>
  </si>
  <si>
    <t>Operator Station</t>
  </si>
  <si>
    <t>Mill Control Cabinet</t>
  </si>
  <si>
    <t>HYD Control Cabinet</t>
  </si>
  <si>
    <t>HCC</t>
  </si>
  <si>
    <t>Main Control Cabinet</t>
  </si>
  <si>
    <t>Heat Load (BTU/Hr)</t>
  </si>
  <si>
    <t>Surface Area (ft^2)</t>
  </si>
  <si>
    <t>Depth
(in)</t>
  </si>
  <si>
    <t>Width
(in)</t>
  </si>
  <si>
    <t>Height
(in)</t>
  </si>
  <si>
    <t>Total Heat Load (BTU/Hr)</t>
  </si>
  <si>
    <t>Target Cabinet Temp (°F)</t>
  </si>
  <si>
    <t>Internal + External</t>
  </si>
  <si>
    <t>From Devices</t>
  </si>
  <si>
    <t>Plant Temp - Target</t>
  </si>
  <si>
    <t>From Temp Differential</t>
  </si>
  <si>
    <t>Plant temp adds heat to cabinet</t>
  </si>
  <si>
    <t>Heat Load (External) (BTU/Hr)</t>
  </si>
  <si>
    <t>Temp Differential (∆°F)</t>
  </si>
  <si>
    <t>Total External Heat (BTU/hr)</t>
  </si>
  <si>
    <t>Total External Noise (dB)</t>
  </si>
  <si>
    <t>HPU</t>
  </si>
  <si>
    <t>Hydraulic Power Unit</t>
  </si>
  <si>
    <t>External / Machine Mounted Equipment</t>
  </si>
  <si>
    <t>nvm I already do this. If the cabinet has no cooling, the max ambient temp fo the enclosure becomes equal to the ambient temp of the environment max, and any energy lost in the cabinet is also rejected to the outside environment.</t>
  </si>
  <si>
    <t>the SCE chart does tell you how much the internal temp will rise though, so you can track the max internal temp based on device losses and determine if you need cooling or not. But the heat rejected = heat losses always.</t>
  </si>
  <si>
    <t>Efficiency / Loss Units</t>
  </si>
  <si>
    <t>need to select if the cabinet is cooled or not, otherwise use SCE chart to find the temp rise above ambient THEN find the INT--&gt;EXT Heat Load
NOTE: Cabinet Air Conditioning Units should be marked as "External" location since they disperse cabinet heat and ACU noise to the environment</t>
  </si>
  <si>
    <t>Max Amb. Plant Temp (°F):</t>
  </si>
  <si>
    <t>Heat Safety Factor (%)</t>
  </si>
  <si>
    <t>BOM Source</t>
  </si>
  <si>
    <t>LOC</t>
  </si>
  <si>
    <t>LOC Description</t>
  </si>
  <si>
    <t>N</t>
  </si>
  <si>
    <t>Assy QTY</t>
  </si>
  <si>
    <t>Need QTY</t>
  </si>
  <si>
    <t>Item</t>
  </si>
  <si>
    <r>
      <t>For dropbox folders, set as "</t>
    </r>
    <r>
      <rPr>
        <b/>
        <sz val="11"/>
        <color theme="1"/>
        <rFont val="Aptos Narrow"/>
        <family val="2"/>
        <scheme val="minor"/>
      </rPr>
      <t>Y</t>
    </r>
    <r>
      <rPr>
        <sz val="11"/>
        <color theme="1"/>
        <rFont val="Aptos Narrow"/>
        <family val="2"/>
        <scheme val="minor"/>
      </rPr>
      <t xml:space="preserve">", then ONLY enter the </t>
    </r>
    <r>
      <rPr>
        <b/>
        <sz val="11"/>
        <color theme="1"/>
        <rFont val="Aptos Narrow"/>
        <family val="2"/>
        <scheme val="minor"/>
      </rPr>
      <t>(PATH)</t>
    </r>
    <r>
      <rPr>
        <sz val="11"/>
        <color theme="1"/>
        <rFont val="Aptos Narrow"/>
        <family val="2"/>
        <scheme val="minor"/>
      </rPr>
      <t xml:space="preserve"> portion:</t>
    </r>
  </si>
  <si>
    <t>Project Folder:</t>
  </si>
  <si>
    <t>User Entries</t>
  </si>
  <si>
    <t>Functional Description</t>
  </si>
  <si>
    <t>Dropbox Filepath?</t>
  </si>
  <si>
    <t>Make sure the Source BOM's tables are named "BOM" and stored at the proper file locations.
Adding columns to this table that matches columns in the source BOMs will pull that new data in as well.
Rebuild the power querry after adding new columns.</t>
  </si>
  <si>
    <t>NEED</t>
  </si>
  <si>
    <t>ELEC</t>
  </si>
  <si>
    <t>DELTA MOTION</t>
  </si>
  <si>
    <t>R200-B7L</t>
  </si>
  <si>
    <t>BURNDY</t>
  </si>
  <si>
    <t>KA30U</t>
  </si>
  <si>
    <t>GND00200</t>
  </si>
  <si>
    <t>R200-CPU20L</t>
  </si>
  <si>
    <t>RMC08000:0-1</t>
  </si>
  <si>
    <t>R2-KL004</t>
  </si>
  <si>
    <t>RMC08000</t>
  </si>
  <si>
    <t>R200-CA4</t>
  </si>
  <si>
    <t>RMC08000:02</t>
  </si>
  <si>
    <t>R200-LC8</t>
  </si>
  <si>
    <t>RMC08000:03</t>
  </si>
  <si>
    <t>R200-S8</t>
  </si>
  <si>
    <t>RMC08000:04</t>
  </si>
  <si>
    <t>R200-A8</t>
  </si>
  <si>
    <t>RMC08000:05</t>
  </si>
  <si>
    <t>R2-SC</t>
  </si>
  <si>
    <t>GRACE PORT</t>
  </si>
  <si>
    <t>P-R62#2-K3RF0</t>
  </si>
  <si>
    <t>GP04549</t>
  </si>
  <si>
    <t>R-3W-L-KIT</t>
  </si>
  <si>
    <t>IND00235</t>
  </si>
  <si>
    <t>LC08206, LC08218</t>
  </si>
  <si>
    <t>TMP07134, TMP07137</t>
  </si>
  <si>
    <t>O5P500</t>
  </si>
  <si>
    <t>PE07252, PE07255</t>
  </si>
  <si>
    <t>RD07246, RD07249, RD07343, RD07346, RD07349, RD07352</t>
  </si>
  <si>
    <t>E43001</t>
  </si>
  <si>
    <t>KEYENCE</t>
  </si>
  <si>
    <t>LV-H100</t>
  </si>
  <si>
    <t>LV-N11MN</t>
  </si>
  <si>
    <t>MARATHON</t>
  </si>
  <si>
    <t>PDB00220</t>
  </si>
  <si>
    <t>BFPB-37-1-3</t>
  </si>
  <si>
    <t>CC-BFPB-1-3</t>
  </si>
  <si>
    <t>CH1351</t>
  </si>
  <si>
    <t>MERSEN</t>
  </si>
  <si>
    <t>A4BQ1200</t>
  </si>
  <si>
    <t>DSC00200</t>
  </si>
  <si>
    <t>M1200L30</t>
  </si>
  <si>
    <t>HB274</t>
  </si>
  <si>
    <t>SFB535</t>
  </si>
  <si>
    <t>LUG1200</t>
  </si>
  <si>
    <t>ATQR15</t>
  </si>
  <si>
    <t>ATDR7</t>
  </si>
  <si>
    <t>AJT500</t>
  </si>
  <si>
    <t>6633J</t>
  </si>
  <si>
    <t>FU00206, FU01105, FU01205</t>
  </si>
  <si>
    <t>ATQR3</t>
  </si>
  <si>
    <t>RP5MA-14U-01D841S1011G7</t>
  </si>
  <si>
    <t>LDT08406, LDT08418</t>
  </si>
  <si>
    <t>251 416-2</t>
  </si>
  <si>
    <t>PANDUIT</t>
  </si>
  <si>
    <t>UGB2/0-414-18</t>
  </si>
  <si>
    <t>SPD00235</t>
  </si>
  <si>
    <t>ECB05033, ECB05046, ECB05103, ECB05116, ECB05133, ECB05303, ECB05316, ECB25003, ECB25103</t>
  </si>
  <si>
    <t>SOL05411, SOL05413, SOL05415, SOL05417, SOL05441, SOL05443, SOL25133, SOL25135</t>
  </si>
  <si>
    <t>FIL00439, FIL00539, FIL00639</t>
  </si>
  <si>
    <t>20-HIM-A6</t>
  </si>
  <si>
    <t>DRV01145, DRV01245</t>
  </si>
  <si>
    <t>TF01110, TF01210</t>
  </si>
  <si>
    <t>100-ETL580</t>
  </si>
  <si>
    <t>100-ETS460L</t>
  </si>
  <si>
    <t>MCR04533, MCR04534, MCR04538, MCR04539, MCR04543, MCR04544</t>
  </si>
  <si>
    <t>100-E460ED11</t>
  </si>
  <si>
    <t>1756-A4</t>
  </si>
  <si>
    <t>PLC05500</t>
  </si>
  <si>
    <t>1756-PB75</t>
  </si>
  <si>
    <t>1756-L81ES</t>
  </si>
  <si>
    <t>PLC05500:01</t>
  </si>
  <si>
    <t>1756-EN2T</t>
  </si>
  <si>
    <t xml:space="preserve">PLC05500:02, PLC05500:03 </t>
  </si>
  <si>
    <t>1756-N2</t>
  </si>
  <si>
    <t>PLC05500:04</t>
  </si>
  <si>
    <t>193-ECM-ETR</t>
  </si>
  <si>
    <t>MST04552, MST04555, MST24503, MST24506, MST24509, MST24512, MST24515</t>
  </si>
  <si>
    <t>100-E146ED11</t>
  </si>
  <si>
    <t>193-ESM-I-200A-E146</t>
  </si>
  <si>
    <t>193-EIO-63-24D</t>
  </si>
  <si>
    <t>193-EXP-PS-DC</t>
  </si>
  <si>
    <t>MST24503, MST24506, MST24509</t>
  </si>
  <si>
    <t>193-EXP-AIO-31</t>
  </si>
  <si>
    <t>199-FSMA1</t>
  </si>
  <si>
    <t>MST24503, MST24506</t>
  </si>
  <si>
    <t>100-C12D10</t>
  </si>
  <si>
    <t>MST24509</t>
  </si>
  <si>
    <t>193-ESM-I-30A-C23</t>
  </si>
  <si>
    <t>MST04552, MST04555, MST24509, MST24512, MST24515</t>
  </si>
  <si>
    <t>193-EIO-CM-C23</t>
  </si>
  <si>
    <t>100-C09D10</t>
  </si>
  <si>
    <t>MST04552, MST04555, MST24512, MST24515</t>
  </si>
  <si>
    <t>140MT-D9N-B40</t>
  </si>
  <si>
    <t>CB00906, CB01006, CB20706, CB20806</t>
  </si>
  <si>
    <t>140MG-J8E-D15</t>
  </si>
  <si>
    <t>CB20406, CB20506</t>
  </si>
  <si>
    <t>140MG-K8P-D40</t>
  </si>
  <si>
    <t>CB00306, CB01115, CB01215</t>
  </si>
  <si>
    <t>140MT-D9N-C16</t>
  </si>
  <si>
    <t>CB20606</t>
  </si>
  <si>
    <t>1497D-A15-M22-0-N</t>
  </si>
  <si>
    <t>20-COMM-E</t>
  </si>
  <si>
    <t>1734-AENTR</t>
  </si>
  <si>
    <t>RR06000, RR07000, RR09000</t>
  </si>
  <si>
    <t>1734-EP24DC</t>
  </si>
  <si>
    <t>RR07000</t>
  </si>
  <si>
    <t>1734-IB8S</t>
  </si>
  <si>
    <t>RR06000:01, RR07000:01, RR09000:01</t>
  </si>
  <si>
    <t>1734-OB8S</t>
  </si>
  <si>
    <t>RR06000:02</t>
  </si>
  <si>
    <t>1734-IB8</t>
  </si>
  <si>
    <t>1734-OB8E</t>
  </si>
  <si>
    <t>1734-TOP</t>
  </si>
  <si>
    <t>1734-IE8C</t>
  </si>
  <si>
    <t>RR07000:02</t>
  </si>
  <si>
    <t>1734-IE2V</t>
  </si>
  <si>
    <t>RR07000:03</t>
  </si>
  <si>
    <t>1783-CMS20DP</t>
  </si>
  <si>
    <t>ESW05040</t>
  </si>
  <si>
    <t>800FM-LF7</t>
  </si>
  <si>
    <t>800FM-F6</t>
  </si>
  <si>
    <t>800FM-LMP44</t>
  </si>
  <si>
    <t>ES06102, ES09102</t>
  </si>
  <si>
    <t>800F-MN3RX12</t>
  </si>
  <si>
    <t>800F-MN3GX10</t>
  </si>
  <si>
    <t>800F-MN3WX10</t>
  </si>
  <si>
    <t>800F-MX10</t>
  </si>
  <si>
    <t>PB09137, PB09140</t>
  </si>
  <si>
    <t>800FM-LF3</t>
  </si>
  <si>
    <t>800FM-F4</t>
  </si>
  <si>
    <t>1492-FB2C30-L</t>
  </si>
  <si>
    <t>1492-FB3C30-L</t>
  </si>
  <si>
    <t>1489-M1D040</t>
  </si>
  <si>
    <t>CB04533, CB04538, CB04543</t>
  </si>
  <si>
    <t>1489-M1D500</t>
  </si>
  <si>
    <t>CB04516</t>
  </si>
  <si>
    <t>100S-C09EJ331BC</t>
  </si>
  <si>
    <t xml:space="preserve">MCR06134, MCR06137, MCR06140, MCR06143, </t>
  </si>
  <si>
    <t>1492-PD3287</t>
  </si>
  <si>
    <t>PDB00230, PDB00320</t>
  </si>
  <si>
    <t>1492-PBC3</t>
  </si>
  <si>
    <t>700-HKM6Z24-3-4</t>
  </si>
  <si>
    <t>700-HN221</t>
  </si>
  <si>
    <t>1489-M1D050</t>
  </si>
  <si>
    <t>CB04549</t>
  </si>
  <si>
    <t>1489-M1D010</t>
  </si>
  <si>
    <t>CB04603</t>
  </si>
  <si>
    <t>1489-M1D020</t>
  </si>
  <si>
    <t>CB04522, CB04525, CB04722, CB04725</t>
  </si>
  <si>
    <t>1489-M1D030</t>
  </si>
  <si>
    <t>CB04552, CB04555, CB24503, CB24506, CB24509, CB24512, CB24515</t>
  </si>
  <si>
    <t>1497B-A9-M14-3-N</t>
  </si>
  <si>
    <t>100-PCE7</t>
  </si>
  <si>
    <t xml:space="preserve">CB00306, CB01115, CB01215, </t>
  </si>
  <si>
    <t>SCE</t>
  </si>
  <si>
    <t>SCE-30P20</t>
  </si>
  <si>
    <t>SCE-30EL2010LP</t>
  </si>
  <si>
    <t> SCE-48EL3616LPPL</t>
  </si>
  <si>
    <t>SCE-48P36</t>
  </si>
  <si>
    <t>SCE-24N2412LP</t>
  </si>
  <si>
    <t>SCE-24N24MP</t>
  </si>
  <si>
    <t>SCE-E24I</t>
  </si>
  <si>
    <t>SOL05233, SOL05238, SOL05243, SOL05248, SOL05253</t>
  </si>
  <si>
    <t>SCE-EKDF</t>
  </si>
  <si>
    <t>KS05233, KS05238, KS05243, KS05248, KS05253</t>
  </si>
  <si>
    <t>SCE-LF18</t>
  </si>
  <si>
    <t>LT04603, LT04606, LT04609, LT04612, LT04615, LT04618</t>
  </si>
  <si>
    <t>SCE-N86RX4024</t>
  </si>
  <si>
    <t>SCE-N86C7824</t>
  </si>
  <si>
    <t>SCE-N86L4024</t>
  </si>
  <si>
    <t>SCE-N86P40</t>
  </si>
  <si>
    <t>SCE-N86P78</t>
  </si>
  <si>
    <t> SCE-NBP8624</t>
  </si>
  <si>
    <t>SCE-DCP</t>
  </si>
  <si>
    <t>WIRE&amp;CABLE</t>
  </si>
  <si>
    <t>THN600-FT</t>
  </si>
  <si>
    <t>15'</t>
  </si>
  <si>
    <t>MTW250-FT</t>
  </si>
  <si>
    <t>350'</t>
  </si>
  <si>
    <t>MTW3s0-FT</t>
  </si>
  <si>
    <t>40'</t>
  </si>
  <si>
    <t>HYD</t>
  </si>
  <si>
    <t>Tank</t>
  </si>
  <si>
    <t>HYD TANK</t>
  </si>
  <si>
    <t>MAIN CYLINDER VALVES</t>
  </si>
  <si>
    <t>Main Loop - Pumps</t>
  </si>
  <si>
    <t>MAIN PUMP MOTOR</t>
  </si>
  <si>
    <t>Kidney Loop - Pump</t>
  </si>
  <si>
    <t>KIDNEY LOOP MOTOR</t>
  </si>
  <si>
    <t>Kindney Loop - Heat Exchanger</t>
  </si>
  <si>
    <t>HEAT EXCHANGER</t>
  </si>
  <si>
    <t>MAIN PUMPS</t>
  </si>
  <si>
    <t>KIDNEY LOOP PUMP</t>
  </si>
  <si>
    <t>MAGNALOY</t>
  </si>
  <si>
    <t>S3241222D</t>
  </si>
  <si>
    <t>MAIN MOTOR-PUMP ADAPTER</t>
  </si>
  <si>
    <t>M182702C</t>
  </si>
  <si>
    <t>KIDNEY LOOP MOTOR-PUMP ADAPTER</t>
  </si>
  <si>
    <t>M70012414</t>
  </si>
  <si>
    <t>MAIN PUMP COUPLINGS</t>
  </si>
  <si>
    <t>M770H5</t>
  </si>
  <si>
    <t>MAIN PUMP COUPLING INSERTS</t>
  </si>
  <si>
    <t>M70022824</t>
  </si>
  <si>
    <t>MAIN MOTOR COUPLINGS</t>
  </si>
  <si>
    <t>M20010810</t>
  </si>
  <si>
    <t>KIDNEY LOOP PUMP COUPLING</t>
  </si>
  <si>
    <t>M270N6</t>
  </si>
  <si>
    <t>KIDNEY LOOP COUPLING INSERT</t>
  </si>
  <si>
    <t>M20011210</t>
  </si>
  <si>
    <t>KIDNEY LOOP MOTOR COUPLING</t>
  </si>
  <si>
    <t>MDB405-W</t>
  </si>
  <si>
    <t>MAIN MOTOR MOUNT BARS</t>
  </si>
  <si>
    <t>MDB215-W</t>
  </si>
  <si>
    <t>KIDNEY LOOP MOTOR MOUNT BARS</t>
  </si>
  <si>
    <t>KIDNEY LOOP PRESSURE RELIEF VALVE</t>
  </si>
  <si>
    <t>Main Lines</t>
  </si>
  <si>
    <t>MAIN LINE PRESSURE RELIEF VALVE</t>
  </si>
  <si>
    <t>Main Cylinder Manifold</t>
  </si>
  <si>
    <t>MAIN CYLINDER A/B RELIEF VALVES (CHOCK PROTECTION)</t>
  </si>
  <si>
    <t>GS068110N</t>
  </si>
  <si>
    <t>MAIN CYLINDER BI-DIRECTIONAL POPPETS (CYLINDER LOCKING)</t>
  </si>
  <si>
    <t>CCS024D</t>
  </si>
  <si>
    <t>COILS FOR MAIN CYLINDER POPPETS</t>
  </si>
  <si>
    <t>Accumulators</t>
  </si>
  <si>
    <t>ACCUMULATOR PRESSURE GAUGE NEEDLE VALVE
(Smooths pressure spikes on gauge)</t>
  </si>
  <si>
    <t>PUMP MAIN LINE CHECK VALVES
(Protects pump from backflow w/ accumulators and load shock)</t>
  </si>
  <si>
    <t>P567643</t>
  </si>
  <si>
    <t>Main Line - Filter</t>
  </si>
  <si>
    <t>MAIN LINE FILTERS - HEAD</t>
  </si>
  <si>
    <t>P567648</t>
  </si>
  <si>
    <t>MAIN LINE FILTERS - HOUSING</t>
  </si>
  <si>
    <t>P566219</t>
  </si>
  <si>
    <t>MAIN LINE FILTERS - FILTER</t>
  </si>
  <si>
    <t>P567639</t>
  </si>
  <si>
    <t>Kindey Loop - Filter</t>
  </si>
  <si>
    <t>KIDNEY LOOP FILTER - HEAD</t>
  </si>
  <si>
    <t>P567649</t>
  </si>
  <si>
    <t>KIDNEY LOOP FILTER - HOUSING</t>
  </si>
  <si>
    <t>P566215</t>
  </si>
  <si>
    <t>KIDNEY LOOP FILTER - FILTER</t>
  </si>
  <si>
    <t>Main Line &amp; Kidney Loop - Filter</t>
  </si>
  <si>
    <t>MAIN LINE FILTER AND KIDNEY LOOP FILTER - ELECTRIC INDICATOR</t>
  </si>
  <si>
    <t>ACCUMULATOR SAFETY BLOCKS</t>
  </si>
  <si>
    <t>SB600-20F1/112S-345F</t>
  </si>
  <si>
    <t>HSS 242 B</t>
  </si>
  <si>
    <t>KBK 222/G</t>
  </si>
  <si>
    <t>FPS-400-F4-G4.1K</t>
  </si>
  <si>
    <t>ACCUMULATOR CHARGING KIT</t>
  </si>
  <si>
    <t>CYLINDER/PUMP SHUTOFF VALVES</t>
  </si>
  <si>
    <t>ACCUMULATOR PRESSURE GAUGES</t>
  </si>
  <si>
    <t>TANK FLOAT / TEMP SENSOR</t>
  </si>
  <si>
    <t>TANK TEMP / FLOAT SENSOR MOUNT</t>
  </si>
  <si>
    <t>TANK TEMP SENSOR (KIDNEY LOOP SETPOINTS)</t>
  </si>
  <si>
    <t>CYLINDER/PUMP SHUTOFF VALVE PROX SWITCHES</t>
  </si>
  <si>
    <t>Pumps and Main Cylinder Manifold</t>
  </si>
  <si>
    <t>MAIN LINE + CYLINDER A/B PORT PRESSURE SENSORS</t>
  </si>
  <si>
    <t>(CYLINDERS)</t>
  </si>
  <si>
    <t>MAIN CYLINDERS</t>
  </si>
  <si>
    <t>(CUSTOM CYLINDER CAP SIDE MANIFOLDS)</t>
  </si>
  <si>
    <t>MAIN CYLINDER MANIFOLDS</t>
  </si>
  <si>
    <t>(CUSTOM CYLINDER ROD SIDE MANIFOLDS)</t>
  </si>
  <si>
    <t>AW32 OIL</t>
  </si>
  <si>
    <t>HYDRAULIC OIL</t>
  </si>
  <si>
    <t>PNU</t>
  </si>
  <si>
    <t>MSB4-AQP:C4:J153-WP</t>
  </si>
  <si>
    <t>Main Filter / Regulator</t>
  </si>
  <si>
    <t>McMASTER</t>
  </si>
  <si>
    <t>6534K47</t>
  </si>
  <si>
    <t>Fitting - Shop Air Connection</t>
  </si>
  <si>
    <t>VABM-L1-18S-G38-3</t>
  </si>
  <si>
    <t>Manifolds</t>
  </si>
  <si>
    <t>AMTE-M-LH-G38</t>
  </si>
  <si>
    <t>Mufflers</t>
  </si>
  <si>
    <t>B-3/8</t>
  </si>
  <si>
    <t>Port Plugs</t>
  </si>
  <si>
    <t>VABD-L1-18X-S-G14</t>
  </si>
  <si>
    <t>Valve Seal Kits</t>
  </si>
  <si>
    <t>VABB-L1-18</t>
  </si>
  <si>
    <t>Spare Port Cover</t>
  </si>
  <si>
    <t>AD-G3/8-3/8NPT-I</t>
  </si>
  <si>
    <t>Fitting Adapter</t>
  </si>
  <si>
    <t>QB-3/8-3/8-U</t>
  </si>
  <si>
    <t>Main Regulator (x1), Manifolds (x2), Wiper Pressure Regulators (x4)</t>
  </si>
  <si>
    <t>Fitting</t>
  </si>
  <si>
    <t>VUVG-L18-P53E-T-G14-1R8L</t>
  </si>
  <si>
    <t>Wiper Pressure / Wiper Pivot Control Valves</t>
  </si>
  <si>
    <t>Valves</t>
  </si>
  <si>
    <t>AD-G1/4-1/4NPT-I</t>
  </si>
  <si>
    <t>QB-1/4-1/4-U</t>
  </si>
  <si>
    <t>Wiper Pivot Control Valves</t>
  </si>
  <si>
    <t>AD-G1/8-1/8NPT-I</t>
  </si>
  <si>
    <t>Wiper Pivot Cylinders</t>
  </si>
  <si>
    <t>GRLA-1/8-QB-1/4-U</t>
  </si>
  <si>
    <t>Directional Flow Control Valves</t>
  </si>
  <si>
    <t>ADN-S-50-20-A-P-A</t>
  </si>
  <si>
    <t>QB-1/4-3/8-U</t>
  </si>
  <si>
    <t>Wiper Pressure Control Valves</t>
  </si>
  <si>
    <t>MS4-LR-AQP-D6-AD11-WR</t>
  </si>
  <si>
    <t>Wiper Pressure Regulator</t>
  </si>
  <si>
    <t>Pressure Regulator</t>
  </si>
  <si>
    <t>GRLA-3/8-QB-3/8-U</t>
  </si>
  <si>
    <t>Wiper Pressure Cylinders</t>
  </si>
  <si>
    <t>Cylinders</t>
  </si>
  <si>
    <t>Position Reed Switches</t>
  </si>
  <si>
    <t>QBT-3/8T-U</t>
  </si>
  <si>
    <t>Main Manifold Feed Line Tee</t>
  </si>
  <si>
    <t/>
  </si>
  <si>
    <t>ELEC, PNU</t>
  </si>
  <si>
    <t>ELEC, HYD</t>
  </si>
  <si>
    <t>PLC05500:02, PLC05500:03</t>
  </si>
  <si>
    <t>MCR06134, MCR06137, MCR06140, MCR06143,</t>
  </si>
  <si>
    <t>CB00306, CB01115, CB01215,</t>
  </si>
  <si>
    <t>Include in Utility Load Table?</t>
  </si>
  <si>
    <r>
      <t>C:\Users\%USERNAME%\</t>
    </r>
    <r>
      <rPr>
        <b/>
        <sz val="11"/>
        <color theme="1"/>
        <rFont val="Aptos Narrow"/>
        <family val="2"/>
        <scheme val="minor"/>
      </rPr>
      <t>(PATH)</t>
    </r>
  </si>
  <si>
    <t>Y</t>
  </si>
  <si>
    <t>FORTRESS</t>
  </si>
  <si>
    <t>THHRZSNSMELQ8</t>
  </si>
  <si>
    <t>INT07102-1, INT07102-2, INT07102-3</t>
  </si>
  <si>
    <t>Perimeter Fencing Door Interlocks</t>
  </si>
  <si>
    <t>ECB05033</t>
  </si>
  <si>
    <t>ECB05046</t>
  </si>
  <si>
    <t>ECB05103</t>
  </si>
  <si>
    <t>ECB05116</t>
  </si>
  <si>
    <t>ECB05133</t>
  </si>
  <si>
    <t>ECB05303</t>
  </si>
  <si>
    <t>ECB05316</t>
  </si>
  <si>
    <t>ECB25003</t>
  </si>
  <si>
    <t>ECB25103</t>
  </si>
  <si>
    <t>MST04552</t>
  </si>
  <si>
    <t>MST04555</t>
  </si>
  <si>
    <t>MST24503</t>
  </si>
  <si>
    <t>MST24506</t>
  </si>
  <si>
    <t>MST24512</t>
  </si>
  <si>
    <t>MST24515</t>
  </si>
  <si>
    <t>TMP07134</t>
  </si>
  <si>
    <t>TMP07137</t>
  </si>
  <si>
    <t>PE07252</t>
  </si>
  <si>
    <t>PE07255</t>
  </si>
  <si>
    <t>RD07246</t>
  </si>
  <si>
    <t>RD07249</t>
  </si>
  <si>
    <t>RD07343</t>
  </si>
  <si>
    <t>RD07346</t>
  </si>
  <si>
    <t>RD07349</t>
  </si>
  <si>
    <t>RD07352</t>
  </si>
  <si>
    <t>ES06102</t>
  </si>
  <si>
    <t>ES09102</t>
  </si>
  <si>
    <t>MCR06134</t>
  </si>
  <si>
    <t>MCR06137</t>
  </si>
  <si>
    <t>MCR06140</t>
  </si>
  <si>
    <t>MCR06143</t>
  </si>
  <si>
    <t>INT07102-1</t>
  </si>
  <si>
    <t>INT07102-2</t>
  </si>
  <si>
    <t>INT07102-3</t>
  </si>
  <si>
    <t>MCC - Panel Ground Lug</t>
  </si>
  <si>
    <t>CC1 - Delta Controller - Analog Input Card</t>
  </si>
  <si>
    <t>CC1 - Delta Controller - Base</t>
  </si>
  <si>
    <t>CC1 - Delta Controller - Analog Output Card</t>
  </si>
  <si>
    <t>CC1 - Delta Controller - CPU</t>
  </si>
  <si>
    <t>CC1 - Delta Controller - Load Cell Card</t>
  </si>
  <si>
    <t>CC1 - Delta Controller - SSI Input Card</t>
  </si>
  <si>
    <t>CC1 - Delta Controller - Feature Key</t>
  </si>
  <si>
    <t>CC1 - Delta Controller - Slot Cover</t>
  </si>
  <si>
    <t>MCC - Door - Graceport</t>
  </si>
  <si>
    <t>MCC - Door - 480V Power Indicator (PESD)</t>
  </si>
  <si>
    <t>Mill - DR / OP Roll - Load Cells</t>
  </si>
  <si>
    <t>MCC - AC Unit</t>
  </si>
  <si>
    <t>LT07516</t>
  </si>
  <si>
    <t>THS20641</t>
  </si>
  <si>
    <t>HYD - Tank - Temp / Level Alarm Mount</t>
  </si>
  <si>
    <t>PX07234, PX07237, PX07240, PX07243,  PX07355, PX07404, PX07407, PX07410, PX20441,  PX20541</t>
  </si>
  <si>
    <t>HYD - Tank - Temp / Level Alarm</t>
  </si>
  <si>
    <t>PNU - Top / Btm Roll Wipers - Pivot In/Out Reed Switches
PNU - Top / Btm Roll Wipers - Pressure Retracted Reed Switches</t>
  </si>
  <si>
    <t>Mill - Entry / Exit Apron - Part Present Sensors</t>
  </si>
  <si>
    <t>PT08605, PT08611, PT08617, PT08623, PT20447, PT20547, PT20647</t>
  </si>
  <si>
    <t>HYD - DR / OP Cylinder - Cap / Rod Pressure Sensors
HYD - Pumps - Pressure Sensors</t>
  </si>
  <si>
    <t>TMP20653</t>
  </si>
  <si>
    <t>HYD - Tank - Analog Temp Sensor</t>
  </si>
  <si>
    <t>Mill - Top / Btm Roll - Roll Temp IR Sensors</t>
  </si>
  <si>
    <t>MCC - 480V Distribution - Starter Feed</t>
  </si>
  <si>
    <t>PDB00200</t>
  </si>
  <si>
    <t>MCC - 480V Distribution - Main Breaker Feeds</t>
  </si>
  <si>
    <t>MCC - 480V Distribution - Main Breaker Feed Covers</t>
  </si>
  <si>
    <t>MCC - 480V Distribution - Starter Feed Covers</t>
  </si>
  <si>
    <t>MCC - 480V Distribution - Starter Feed Fuse Block
MCC - 480V Distribution - Top / Btm Roll Drive Fuse Block</t>
  </si>
  <si>
    <t>MCC - Disconnect - Fuses</t>
  </si>
  <si>
    <t>FU00206-1...3, FU01105-1...3, FU01205-1...3</t>
  </si>
  <si>
    <t>MCC - 480V Distribution - Starter Feed Fuses
MCC - 480V Distribution - Top / Btm Roll Drive Fuses</t>
  </si>
  <si>
    <t>FU05005-1...3</t>
  </si>
  <si>
    <t>MCC - 24VDC Power Supply - Fuses</t>
  </si>
  <si>
    <t>FU04005-1…2, FU04505-1…2</t>
  </si>
  <si>
    <t>MCC - AC Unit - Fuses
MCC - 120VAC Transformer - Primary Side - Fuses</t>
  </si>
  <si>
    <t>FU04705-1...2, FU04716</t>
  </si>
  <si>
    <t>MCC - 240VAC Transformer - Primary + Secondary Fuses</t>
  </si>
  <si>
    <t>MCC - Disconnect - Handle</t>
  </si>
  <si>
    <t>MCC - Disconnect - Lugs</t>
  </si>
  <si>
    <t>MCC - Disconnect</t>
  </si>
  <si>
    <t>MCC - Disconnect - Shaft</t>
  </si>
  <si>
    <t>Mill - DR / OP Roll - Linear Position Transducer Magnets</t>
  </si>
  <si>
    <t>Mill - DR / OP Roll - Linear Position Transducers</t>
  </si>
  <si>
    <t>MCC - Panel Ground BAR</t>
  </si>
  <si>
    <t>MCC - 24VDC Power Supply</t>
  </si>
  <si>
    <t>4P DIN 43650 (EN 175301-803 Form A) Solenoid Cables:
HYD - Pump Filters - Filter Dirty Pressure Switches</t>
  </si>
  <si>
    <t>3P DIN 43650 (EN 175301-803 Form A) Solenoid Cables:
HYD - DR / OP Cylinder - Cap / Rod Locking Check Valves
HYD - DR / OP Cylinder - Accumulator Discharge Valves
HYD - DR / OP Pumps - Pump Standby Valves</t>
  </si>
  <si>
    <t>TMP07134, TMP07137, PT07140, PT07143, PT07146, PT08605, PT08611, PT08617, PT08623, PT20447, PT20547, PT20647, TMP20653</t>
  </si>
  <si>
    <t>Shielded 4P M12 Sensor Cables:
Mill - Top / Btm Roll - Roll Temp IR Sensors
PNU - Main Regulator - Pressure Sensor
PNU - Top / Btm Roll Wipers - Regulator Pressure Sensor
HYD - DR / OP Cylinder - Cap / Rod Pressure Sensor
HYD - Pumps - Pressure Sensor
HYD - Tank - Analog Temp Sensor</t>
  </si>
  <si>
    <t>Shielded 5P M12 Sensor Cables:
Mill - DR / OP Roll - Load Cells</t>
  </si>
  <si>
    <t>8P M12 Sensor Cable:
HYD - Tank - Temp / Level Alarm</t>
  </si>
  <si>
    <t>Shielded 8P M12 Sensor Cables:
Mill - DR / OP Roll - Linear Position Transducer</t>
  </si>
  <si>
    <t>PX07234, PX07237, PX07240, PX07243, PX07355, PX07404, PX07407, PX07410 PE07252, PE07255 RD07246, RD07249, RD07343, RD07346, RD07349, RD07352, PX20441,  PX20541</t>
  </si>
  <si>
    <t>SOL05403, SOL05405, SOL05407, SOL05409, SOL05433, SOL05435, SOL05437, SOL05439</t>
  </si>
  <si>
    <t>3P M8 Sensor Cables:
PNU - Top / Btm Roll Wipers - Pivot Cylinder Valves
PNU - Top / Btm Roll Wipers - Pressure Cylinder Valves</t>
  </si>
  <si>
    <t>MCC - 480V Distribution - Surge Protector</t>
  </si>
  <si>
    <t>MCC - Top / Btm Roll Motor - Blower Motor Starters - Contactor (9A)
HYD - Kidney Loop Fans - Motor Starter - Contactor (9A)</t>
  </si>
  <si>
    <t>HYD - Kidney Loop Pump - Motor Starter - Contactor (12A)</t>
  </si>
  <si>
    <t>HYD - DR / OP Cylinder Pump - Motor Starters - Contactor (146A)</t>
  </si>
  <si>
    <t>MCC - Top / Btm Roll Drive - Mains Feed Starter - Contactor (460A)
MCC - 480V Distribution - Mains Feed Starter - Contactor (460A)</t>
  </si>
  <si>
    <t>MCR04534, MCR04539, MCR04544</t>
  </si>
  <si>
    <t>MCC - Top / Btm Roll Drive - Mains Feed Starter - Lugs
MCC - 480V Distribution - Mains Feed Starter - Lugs</t>
  </si>
  <si>
    <t>MCC - Top / Btm Roll Drive - Mains Feed Starter - Terminal Shrouds
MCC - 480V Distribution - Mains Feed Starter - Terminal Shrouds</t>
  </si>
  <si>
    <t>MCC - Top / Btm Roll Drive - Mains Feed Starter - Circuit Breaker to Contactor Linking Busbar
MCC - 480V Distribution - Mains Feed Starter - Circuit Breaker to Contactor Linking Busbar</t>
  </si>
  <si>
    <t>MCC - Mill CC1 24V Power Control - Safety Contactor (9A)
MCC - MCC Starter 120V Power Control - Safety Contactor (9A)</t>
  </si>
  <si>
    <t>MCC - Top / Btm Roll Drive - 480V (∆ to Y) Isolation Transformer</t>
  </si>
  <si>
    <t>HYD - DR / OP Cylinder Pump - Motor Starters - Motor Protection Circuit Protector (150A)</t>
  </si>
  <si>
    <t>MCC - Top / Btm Roll Drive - Mains Feed Starter - Motor Protection Circuit Protector (400A)
MCC - 480V Distribution - Mains Feed Starter - Motor Protection Circuit Protector (400A)</t>
  </si>
  <si>
    <t>MCC - Top / Btm Roll Motor - Blower Motor - Motor Circuit Protector (4A)
HYD - Kidney Loop Fans - Motor Circuit Protector (4A)</t>
  </si>
  <si>
    <t>HYD - Kidney Loop Pump - Motor Starter - Motor Circuit Protector (16A)</t>
  </si>
  <si>
    <t>MCC - Cabinet LED Lighting - Circuit Breaker (1A)</t>
  </si>
  <si>
    <t>MCC - Top / Btm Mill Drive - 120VAC Control Power - Circuit Breaker (2A)
MCC - Top / Btm Mill Drive - 240VAC Fan Power - Circuit Breaker (2A)</t>
  </si>
  <si>
    <t>MCC - Top / Btm Roll Motor - Blower Motor Starters - Circuit Breaker (3A)
HYD - DR / OP Cylinder Pump - Motor Starters - Circuit Breaker (3A)
HYD - Kidney Loop Pump - Motor Starter - Circuit Breaker (3A)
HYD - Kidney Loop Fans - Motor Starter - Circuit Breaker (3A)</t>
  </si>
  <si>
    <t>MCC - Top / Btm Roll Drive - Mains Feed Starter - Circuit Breaker (4A)
MCC - 480V Distribution - Mains Feed Starter - Circuit Breaker (4A)</t>
  </si>
  <si>
    <t>MCC - Graceport - 120V Supply - Circuit Breaker (5A)</t>
  </si>
  <si>
    <t>MCC - 120VAC Transformer - Secondary Side - Circuit Breaker (50A)</t>
  </si>
  <si>
    <t>MCC - AC Unit - Fuse Holder
MCC - 120VAC Transformer - Fuse Holder</t>
  </si>
  <si>
    <t>FU05005-1…3</t>
  </si>
  <si>
    <t>MCC - 24VDC Power Supply - Fuse Holder</t>
  </si>
  <si>
    <t>480V Distribution - General Device Feed Cover
480V Distribution - HYD Unit Starter Feed Cover</t>
  </si>
  <si>
    <t>480V Distribution - General Device Feed
480V Distribution - HYD Unit Starter Feed</t>
  </si>
  <si>
    <t>MCC - 240VAC Transformer</t>
  </si>
  <si>
    <t>MCC - 120VAC Transformer</t>
  </si>
  <si>
    <t>MCC - Remote Rack - CPU
Mill - Remote Rack - CPU
OS1 - Remote Rack - CPU</t>
  </si>
  <si>
    <t>Mill - Remote Rack - I/O Power Supply Expansion</t>
  </si>
  <si>
    <t>RR06000:03, RR06000:04 RR07000:04, RR07000:05, RR007000:06, RR07000:07, RR07000:08, RR09000:02</t>
  </si>
  <si>
    <t>MCC - Remote Rack - I/O Card (8P DI) (x2)
Mill - Remote Rack - I/O Card (8P DI) (x5)
OS1 - Remote Rack - I/O Card (8P DI) (x1)</t>
  </si>
  <si>
    <t>MCC - Remote Rack - I/O Card (8P DI Safety)
Mill - Remote Rack - I/O Card (8P DI Safety)
OS1 - Remote Rack - I/O Card (8P DI Safety)</t>
  </si>
  <si>
    <t>Mill - Remote Rack - I/O Card (2P AI Voltage)</t>
  </si>
  <si>
    <t>Mill - Remote Rack - I/O Card (8P AI Current)</t>
  </si>
  <si>
    <t>RR06000:05, RR06000:06, RR07000:09, RR07000:10, RR07000:11, RR09000:03</t>
  </si>
  <si>
    <t>MCC - Remote Rack - I/O Card (8P DO) (x2)
Mill - Remote Rack - I/O Card (8P DO) (x3)
OS1 - Remote Rack - I/O Card (8P DO) (x1)</t>
  </si>
  <si>
    <t>MCC - Remote Rack - I/O Card (8P DO Safety)</t>
  </si>
  <si>
    <t>MCC - Remote Rack - Terminal Bases (x8)
Mill - Remote Rack - Terminal Bases (x12)
OS1 - Remote Rack - Terminal Bases (x4)</t>
  </si>
  <si>
    <t>MCC - PLC - Chassis</t>
  </si>
  <si>
    <t>MCC - PLC - Ethernet Interface Cards</t>
  </si>
  <si>
    <t>MCC - PLC - CPU</t>
  </si>
  <si>
    <t>MCC - PLC - Empty Slot Filler Cover</t>
  </si>
  <si>
    <t>MCC - PLC - Power Supply</t>
  </si>
  <si>
    <t>MCC - Managed Ethernet Switch (18P)</t>
  </si>
  <si>
    <t>MCC - Top / Btm Roll Motor - Blower Motor Starters - Electronic Overload Relay w/ Ethernet Comms
HYD - DR / OP Cylinder Pump - Motor Starters - Electronic Overload Relay w/ Ethernet Comms
HYD - Kidney Loop Pump - Motor Starter - Electronic Overload Relay w/ Ethernet Comms
HYD - Kidney Loop Fans - Motor Starter - Electronic Overload Relay w/ Ethernet Comms</t>
  </si>
  <si>
    <t>MCC - Top / Btm Roll Motor - Blower Motor Starters - I/O Card (6P DI + 3P DO)
HYD - DR / OP Cylinder Pump - Motor Starters - I/O Card (6P DI + 3P DO)
HYD - Kidney Loop Pump - Motor Starter - I/O Card (6P DI + 3P DO)
HYD - Kidney Loop Fans - Motor Starter - I/O Card (6P DI + 3P DO)</t>
  </si>
  <si>
    <t>HYD - DR / OP Cylinder Pump - Motor Starters - Electronic Overload Relay Controller (20…200A)</t>
  </si>
  <si>
    <t>MCC - Top / Btm Roll Motor - Blower Motor Starters - Electronic Overload Relay Controller (0.5…30A)</t>
  </si>
  <si>
    <t>HYD - DR / OP Cylinder Pump - Motor Starters - I/O Card (3P AI + 1P AO)
HYD - Kidney Loop Pump - Motor Starter - I/O Card (3P AI + 1P AO)</t>
  </si>
  <si>
    <t>HYD - DR / OP Cylinder Pump - Motor Starters - I/O Power Supply
HYD - Kidney Loop Pump - Motor Starter - I/O Power Supply</t>
  </si>
  <si>
    <t>HYD - DR / OP Cylinder Pump - Motor Starters - Coil RC Surge Suppressor</t>
  </si>
  <si>
    <t>MCC - Top / Btm Roll Drive - Ethernet Comms Adapter</t>
  </si>
  <si>
    <t>MCC - Top / Btm Roll Drives</t>
  </si>
  <si>
    <t>OS1 - HMI Control Panel</t>
  </si>
  <si>
    <t>CR07504, CR07507, CR07510, CR07513, CR07534, CR07537, CR07540, CR07543, CR07546, CR07549, CR07552, CR07555</t>
  </si>
  <si>
    <t>Mill - Remote Rack - Solenoid Control Relays</t>
  </si>
  <si>
    <t>Mill - Remote Rack - Solenoid Control Relay - Bases</t>
  </si>
  <si>
    <t>OS1 - Pushbutton - Line Stop - Actuator (Red)</t>
  </si>
  <si>
    <t>OS1 - Pushbutton - Reset - Actuator (Blue)</t>
  </si>
  <si>
    <t>OS1 - Pushbutton - Line Start - Actuator (Illuminated Green)</t>
  </si>
  <si>
    <t>OS1 - Pushbutton - Control Power On - Actuator (Illuminated Clear)</t>
  </si>
  <si>
    <t>OS1 - Pushbutton - E-Stop - Actuator (Illuminated Red, Mushroom, Latching)</t>
  </si>
  <si>
    <t>MCC - Cabinet - Door Interlocks</t>
  </si>
  <si>
    <t>MCC - Cabinet - Door Interlocks - Defeater Key Switch</t>
  </si>
  <si>
    <t>MCC - Cabinet LED Lighting</t>
  </si>
  <si>
    <t>MCC - Cabinet - Section (Left)</t>
  </si>
  <si>
    <t>MCC - Cabinet - Section (Right)</t>
  </si>
  <si>
    <t>MCC - Cabinet - Section (Middle)</t>
  </si>
  <si>
    <t>MCC - Cabinet - Section Barrier Plate</t>
  </si>
  <si>
    <t>MCC - Back Panel - Section (Left / Right)</t>
  </si>
  <si>
    <t>MCC - Back Panel - Section (Middle)</t>
  </si>
  <si>
    <t>MCC - Cabinet - Disconnect Coverplate</t>
  </si>
  <si>
    <t>Mill - CC1 - Cabinet</t>
  </si>
  <si>
    <t>Mill - CC1 - Back Panel</t>
  </si>
  <si>
    <t>CC2</t>
  </si>
  <si>
    <t>HYD - CC2 - Cabinet</t>
  </si>
  <si>
    <t>HYD - CC2 - Back Panel</t>
  </si>
  <si>
    <t>OS1 - Cabinet</t>
  </si>
  <si>
    <t>OS1 - Back Panel</t>
  </si>
  <si>
    <t>MCC - Top / Btm Roll Drive - Mains Feed Starter - Contactor to Contactor Linking Busbar (OR Lugs)
MCC - 480V Distribution - Mains Feed Starter - Contactor to Contactor Linking Busbar (OR Lugs)</t>
  </si>
  <si>
    <t>Mill - Status Light</t>
  </si>
  <si>
    <t>MCC - Top / Btm Roll Drive - HIM Display</t>
  </si>
  <si>
    <t>MCC - Door - Top / Btm Roll Drive - HIM Panel Mounted Display</t>
  </si>
  <si>
    <t>PT08605</t>
  </si>
  <si>
    <t>PT08611</t>
  </si>
  <si>
    <t>PT08617</t>
  </si>
  <si>
    <t>PT08623</t>
  </si>
  <si>
    <t>PT20447</t>
  </si>
  <si>
    <t>PT20547</t>
  </si>
  <si>
    <t>PT20647</t>
  </si>
  <si>
    <t>LDT08406</t>
  </si>
  <si>
    <t>LDT08418</t>
  </si>
  <si>
    <t>CR07504</t>
  </si>
  <si>
    <t>CR07507</t>
  </si>
  <si>
    <t>CR07510</t>
  </si>
  <si>
    <t>CR07513</t>
  </si>
  <si>
    <t>CR07534</t>
  </si>
  <si>
    <t>CR07537</t>
  </si>
  <si>
    <t>CR07540</t>
  </si>
  <si>
    <t>CR07543</t>
  </si>
  <si>
    <t>CR07546</t>
  </si>
  <si>
    <t>CR07549</t>
  </si>
  <si>
    <t>CR07552</t>
  </si>
  <si>
    <t>CR07555</t>
  </si>
  <si>
    <t>LC08206</t>
  </si>
  <si>
    <t>LC08218</t>
  </si>
  <si>
    <t>Notes
(I/O Signal Type, Functional Logic, etc.)</t>
  </si>
  <si>
    <t>RR1</t>
  </si>
  <si>
    <t>I/O Point(s)</t>
  </si>
  <si>
    <t>Main Tag</t>
  </si>
  <si>
    <t>PLC</t>
  </si>
  <si>
    <t>RR2</t>
  </si>
  <si>
    <t>RR3</t>
  </si>
  <si>
    <t>PLC05000</t>
  </si>
  <si>
    <t>RR06000</t>
  </si>
  <si>
    <t>RR09000</t>
  </si>
  <si>
    <t>Main Controllers</t>
  </si>
  <si>
    <t>Controller Description</t>
  </si>
  <si>
    <t>Controller Location</t>
  </si>
  <si>
    <t>I:3/5</t>
  </si>
  <si>
    <t>IN0</t>
  </si>
  <si>
    <t>Mill - Top / Btm Roll - 300HP DC Motors</t>
  </si>
  <si>
    <t>(ITEM 99 - notes that the overload relays come with these)</t>
  </si>
  <si>
    <t>OS1 - Pushbutton - Line Start - Light (Green) + Base + 1 N.O. Contact</t>
  </si>
  <si>
    <t>OS1 - Pushbutton - E-Stop - Light (Red) + Base + 1 N.O. / 2 N.C. Contacts</t>
  </si>
  <si>
    <t>OS1 - Pushbutton - Control Power On - Light (White) + Base + 1 N.O. Contact</t>
  </si>
  <si>
    <t>OS1 - Pushbutton - Line Stop - Base + N.O. Contact
OS1 - Pushbutton - Reset - Base + N.O. Contact</t>
  </si>
  <si>
    <t>PS07140, PS07143, PS07146</t>
  </si>
  <si>
    <t>PNU - Main Shutoff / Filter / Regulator - Analog Pressure Sensor
PNU - Top / Btm Roll Wipers - Pressure Regulator - Analog Pressure Sensor</t>
  </si>
  <si>
    <t>These are included WITH the wiper pressure regulators and the main pneumatic shutoff / filter / regulator unit.</t>
  </si>
  <si>
    <t>SPAU-P10R-MS6-F-L-PNLK-PNVBA-M12D</t>
  </si>
  <si>
    <t>(300HP, 5010AY Frame, DC Motor)</t>
  </si>
  <si>
    <t>GENERAL ELECTRIC</t>
  </si>
  <si>
    <t>MST04552 (193-EIO-63-24D)</t>
  </si>
  <si>
    <t>MST04555 (193-EIO-63-24D)</t>
  </si>
  <si>
    <t>MST24512 (193-EIO-63-24D)</t>
  </si>
  <si>
    <t>MST24515 (193-EIO-63-24D)</t>
  </si>
  <si>
    <t>IN1</t>
  </si>
  <si>
    <t>I:3/1
I:3/2
O:5/7</t>
  </si>
  <si>
    <t>I:3/3
I:3/4
O:5/7</t>
  </si>
  <si>
    <t>I:5/3
I:5/4
O:11/0</t>
  </si>
  <si>
    <t>I:2/4
I:2/5
O:3/3</t>
  </si>
  <si>
    <t>SO:2/2</t>
  </si>
  <si>
    <t>SO:2/3</t>
  </si>
  <si>
    <t>MCC - Mill CC1 24V Power Control - Safety Contactor (9A)</t>
  </si>
  <si>
    <t>MCC - MCC Starter 120V Power Control - Safety Contactor (9A)</t>
  </si>
  <si>
    <t>SI:1/2
O:3/0</t>
  </si>
  <si>
    <t>SI:1/0
SI:1/1
I:3/0
O:5/0</t>
  </si>
  <si>
    <t>ECB Tripped (N.O.)
Current Over 80% Threshold (N.O.)
ECB RESET</t>
  </si>
  <si>
    <t>MCC ESTOP:
ESTOP Safety Channel A (N.C.)
ESTOP Safety Channel B (N.C.)
ESTOP Pressed (N.O.)
ESTOP Light</t>
  </si>
  <si>
    <t>Operator Station ESTOP:
ESTOP Safety Channel A (N.C.)
ESTOP Safety Channel B (N.C.)
ESTOP Pressed (N.O.)
ESTOP Light</t>
  </si>
  <si>
    <t>Line Start Pusbutton:
Button Pressed (N.O.)
Button Light</t>
  </si>
  <si>
    <t>Control Power On Pusbutton:
Button Pressed (N.O.)
Button Light</t>
  </si>
  <si>
    <t>OS1 - Pushbutton - Line Stop - Base + N.O. Contact</t>
  </si>
  <si>
    <t>OS1 - Pushbutton - Reset - Base + N.O. Contact</t>
  </si>
  <si>
    <t>Line Start Pusbutton:
Button Pressed (N.O.)</t>
  </si>
  <si>
    <t>Reset Pusbutton:
Button Pressed (N.O.)</t>
  </si>
  <si>
    <t>SI:1/0
SI:1/1
I:2/3
O:3/2</t>
  </si>
  <si>
    <t>I:2/0
O:3/1</t>
  </si>
  <si>
    <t>I:2/1</t>
  </si>
  <si>
    <t>I:2/2</t>
  </si>
  <si>
    <t>AI:2/0+</t>
  </si>
  <si>
    <t>AI:2/1+</t>
  </si>
  <si>
    <t>Top Roll Temp (4-20mA)</t>
  </si>
  <si>
    <t>I:4/4</t>
  </si>
  <si>
    <t>I:4/5</t>
  </si>
  <si>
    <t>I:4/6</t>
  </si>
  <si>
    <t>I:4/7</t>
  </si>
  <si>
    <t>Entry Part Present (N.O.)</t>
  </si>
  <si>
    <t>Exit Part Present (N.O.)</t>
  </si>
  <si>
    <t>I:6/3</t>
  </si>
  <si>
    <t>Top Roll Wiper Pressure Retracted (N.O.)</t>
  </si>
  <si>
    <t>Btm Roll Wiper Pressure Retracted (N.O.)</t>
  </si>
  <si>
    <t>Top Roll Wiper Pivot Retracted (Up) (N.O.)</t>
  </si>
  <si>
    <t>Top Roll Wiper Pivot Extended (Down) (N.O.)</t>
  </si>
  <si>
    <t>I:6/4</t>
  </si>
  <si>
    <t>I:6/5</t>
  </si>
  <si>
    <t>I:6/6</t>
  </si>
  <si>
    <t>Btm Roll Wiper Pivot Retracted (Up) (N.O.)</t>
  </si>
  <si>
    <t>Btm Roll Wiper Pivot Extended (Down) (N.O.)</t>
  </si>
  <si>
    <t>O:9/0</t>
  </si>
  <si>
    <t>O:9/1</t>
  </si>
  <si>
    <t>O:9/2</t>
  </si>
  <si>
    <t>O:9/3</t>
  </si>
  <si>
    <t>O:10/0</t>
  </si>
  <si>
    <t>O:10/1</t>
  </si>
  <si>
    <t>O:10/2</t>
  </si>
  <si>
    <t>O:10/3</t>
  </si>
  <si>
    <t>O:10/4</t>
  </si>
  <si>
    <t>O:10/5</t>
  </si>
  <si>
    <t>O:10/6</t>
  </si>
  <si>
    <t>O:10/7</t>
  </si>
  <si>
    <t>Pilot Relay for Solenoid Valve - Top Roll Wiper Pressure Extend</t>
  </si>
  <si>
    <t>Pilot Relay for Solenoid Valve - Top Roll Wiper Pressure Retract</t>
  </si>
  <si>
    <t>Pilot Relay for Solenoid Valve - Btm Roll Wiper Pressure Extend</t>
  </si>
  <si>
    <t>Pilot Relay for Solenoid Valve - Btm Roll Wiper Pressure Retract</t>
  </si>
  <si>
    <t>Pilot Relay for Solenoid Valve - Top Roll Wiper Pivot In</t>
  </si>
  <si>
    <t>Pilot Relay for Solenoid Valve - Top Roll Wiper Pivot Out</t>
  </si>
  <si>
    <t>Pilot Relay for Solenoid Valve - Btm Roll Wiper Pivot In</t>
  </si>
  <si>
    <t>Pilot Relay for Solenoid Valve - Btm Roll Wiper Pivot Out</t>
  </si>
  <si>
    <t>Pilot Relay for Solenoid Valve - DR Accumulator Pressure Dump</t>
  </si>
  <si>
    <t>Pilot Relay for Solenoid Valve - OP Accumulator Pressure Dump</t>
  </si>
  <si>
    <t>Pilot Relay for Solenoid Valve - DR Cylinder Locking Checks</t>
  </si>
  <si>
    <t>Pilot Relay for Solenoid Valve - OP Cylinder Locking Checks</t>
  </si>
  <si>
    <t>Safety Contactor - Motor Contactors Control Power (Channel A)</t>
  </si>
  <si>
    <t>Safety Contactor - Motor Contactors Control Power (Channel B)</t>
  </si>
  <si>
    <t>O:9/4
O:9/5
O:9/6
O:9/7</t>
  </si>
  <si>
    <t>Mill Status Lights:
Red (On/Off)
Green (On/Off)
White (On/Off)
Blue (On/Off)</t>
  </si>
  <si>
    <t>I:5/5
I:5/6
O:11/0</t>
  </si>
  <si>
    <t>I:5/7
I:6/0
O:11/0</t>
  </si>
  <si>
    <t>I:6/1
I:6/2
O:11/0</t>
  </si>
  <si>
    <t>SI:1/0
SI:1/1
I:5/0
I:7/3
O:11/1</t>
  </si>
  <si>
    <t>SI:1/0
SI:1/1
I:5/1
I:7/4
O:11/2</t>
  </si>
  <si>
    <t>SI:1/0
SI:1/1
I:5/2
I:7/5
O:11/3</t>
  </si>
  <si>
    <t>Entry Perimeter Fencing Interlock:
Gate Safety Channel A (N.C.)
Gate Safety Channel B (N.C.)
Gate Opened (N.O.)
Gate Locked (N.O.)
Lock Gate Solenoid</t>
  </si>
  <si>
    <t>Drive Perimeter Fencing Interlock:
Gate Safety Channel A (N.C.)
Gate Safety Channel B (N.C.)
Gate Opened (N.O.)
Gate Locked (N.O.)
Lock Gate Solenoid</t>
  </si>
  <si>
    <t>Exit Perimeter Fencing Interlock:
Gate Safety Channel A (N.C.)
Gate Safety Channel B (N.C.)
Gate Opened (N.O.)
Gate Locked (N.O.)
Lock Gate Solenoid</t>
  </si>
  <si>
    <t>RMC</t>
  </si>
  <si>
    <t>MCC
CC1</t>
  </si>
  <si>
    <t>RR1
RMC</t>
  </si>
  <si>
    <t>SO:2/0
DIN0+</t>
  </si>
  <si>
    <t>SO:2/1
DIN0+</t>
  </si>
  <si>
    <t>Safety Contactor - 24V Control Power (Channel B)
Servo Control Power / Safety Enable</t>
  </si>
  <si>
    <t>Safety Contactor - 24V Control Power (Channel A)
Servo Control Power / Safety Enable</t>
  </si>
  <si>
    <t>Main Cylinder Manifolds</t>
  </si>
  <si>
    <t>W/ Integrated pressure sensor / display unit (FESTO 8074906)</t>
  </si>
  <si>
    <t>MST24503 (193-EIO-63-24D)</t>
  </si>
  <si>
    <t>MST24506 (193-EIO-63-24D)</t>
  </si>
  <si>
    <t>MST24509 (193-EIO-63-24D)</t>
  </si>
  <si>
    <t>Slot 3 - +EXCA
Slot 3 - -EXCA
Slot 3 - IN0+
Slot 3 - -IN0-</t>
  </si>
  <si>
    <t>Slot 3 - +EXCA
Slot 3 - -EXCA
Slot 3 - IN1+
Slot 3 - -IN1-</t>
  </si>
  <si>
    <t>I:3/6</t>
  </si>
  <si>
    <t>MCC Air Conditioner Temp Alarm (N.O.)</t>
  </si>
  <si>
    <t>OP Load Cell Signal:
Gauge+
Gauge-
Signal+
Signal-</t>
  </si>
  <si>
    <t>DR Load Cell Signal:
Gauge+
Gauge-
Signal+
Signal-</t>
  </si>
  <si>
    <t>IN2
IN3
IN4</t>
  </si>
  <si>
    <t>Tank Temp High Alarm (N.O.) (&gt;140°F)
tank Temp High Warning (N.O.) (&gt;120°F)
Tank Level Low Alarm (N.O.) (&lt;10in, Total Tank height = 17in)</t>
  </si>
  <si>
    <t>MST24509 (193-EXP-AIO-31)</t>
  </si>
  <si>
    <t>MST24509 (193-EIO-63-24D)
MST24509 (193-EXP-AIO-31)</t>
  </si>
  <si>
    <t>IN5
IN0+
IN0-</t>
  </si>
  <si>
    <t>IN1+
IN1-</t>
  </si>
  <si>
    <t>Tank Fluid Temp (4-20mA)
Tank Fluid Temp (0V/CMN)</t>
  </si>
  <si>
    <t>Kidney Loop Pump On (N.O.)</t>
  </si>
  <si>
    <t>DR Cylinder Pump On (N.O.)</t>
  </si>
  <si>
    <t>OP Cylinder Pump On (N.O.)</t>
  </si>
  <si>
    <t>IN1
IN2
R14</t>
  </si>
  <si>
    <t>IN3
IN4
R14</t>
  </si>
  <si>
    <t>[I / O]:[Card]/[Point]
[I / O] = Digital
A[I / O] = Analaog
S[I / O] = Safety</t>
  </si>
  <si>
    <t>HYD - Kidney Loop Fan 2 - Motor Starter - Contactor (9A)</t>
  </si>
  <si>
    <t>HYD - Kidney Loop Fan 1 - Motor Starter - Contactor (9A)</t>
  </si>
  <si>
    <t>MCC - Top Roll Motor - Blower Motor Starters - Contactor (9A)</t>
  </si>
  <si>
    <t>MCC - Btm Roll Motor - Blower Motor Starters - Contactor (9A)</t>
  </si>
  <si>
    <t>Top Roll Motor Blower On (N.O.)</t>
  </si>
  <si>
    <t>Btm Roll Motor Blower On (N.O.)</t>
  </si>
  <si>
    <t>Heat Exchanger Fan 2 On (N.O.)</t>
  </si>
  <si>
    <t>Heat Exchanger Fan 1 On (N.O.)
Starter Relay Power - Jumper to A1 (24V) Terminal</t>
  </si>
  <si>
    <t>IN0
R13</t>
  </si>
  <si>
    <t>MST24503 (193-EIO-63-24D)
MST24503 (193-EXP-AIO-31)</t>
  </si>
  <si>
    <t>MST24506 (193-EIO-63-24D)
MST24506 (193-EXP-AIO-31)</t>
  </si>
  <si>
    <t>Slot 5 - IN0+MA
Slot 5 - IN0-</t>
  </si>
  <si>
    <t>Slot 5 - IN1+MA
Slot 5 - IN1-</t>
  </si>
  <si>
    <t>Slot 5 - IN2+MA
Slot 5 - IN2-</t>
  </si>
  <si>
    <t>Slot 5 - IN3+MA
Slot 5 - IN3-</t>
  </si>
  <si>
    <t>OP Cylinder Rod Pressure (4-20mA)</t>
  </si>
  <si>
    <t>OP Cylinder Cap Pressure (4-20mA)</t>
  </si>
  <si>
    <t>DR Cylinder Cap Pressure (4-20mA)</t>
  </si>
  <si>
    <t>DR Cylinder Rod Pressure (4-20mA)</t>
  </si>
  <si>
    <t xml:space="preserve">DR Cylinder Pump Output:
Pressure On/OK (N.O.)
Pressure (4-20mA)
Pressure (0V / CMN)
</t>
  </si>
  <si>
    <t xml:space="preserve">OP Cylinder Pump Output:
Pressure On/OK (N.O.)
Pressure (4-20mA)
Pressure (0V / CMN)
</t>
  </si>
  <si>
    <t xml:space="preserve">Kidney Loop Pump Output:
Pressure On/OK (N.O.)
Pressure (4-20mA)
Pressure (0V / CMN)
</t>
  </si>
  <si>
    <t>MCC - 24V Distribution - Electronic Circuit Breakers</t>
  </si>
  <si>
    <t>CC1 - 24V Distribution - Electronic Circuit Breakers</t>
  </si>
  <si>
    <t>OS1 - 24V Distribution - Electronic Circuit Breakers</t>
  </si>
  <si>
    <t>CC2 - 24V Distribution - Electronic Circuit Breakers</t>
  </si>
  <si>
    <t>Slot 4 - +CLK0
Slot 4 - -CLK0
Slot 4 - +DAT0
Slot 4 - -DAT0</t>
  </si>
  <si>
    <t>Slot 4 - +CLK1
Slot 4 - -CLK1
Slot 4 - +DAT1
Slot 4 - -DAT1</t>
  </si>
  <si>
    <t>Mill DR Position (SSI)</t>
  </si>
  <si>
    <t>Mill OP Position (SSI)</t>
  </si>
  <si>
    <t>Surge Protector Tripped (N.O.)</t>
  </si>
  <si>
    <t>MCC - 24V Distribution - Electronic Circuit Breakers
OS1 - 24V Distribution - Electronic Circuit Breakers
CC1 - 24V Distribution - Electronic Circuit Breakers
HYD - 24V Distribution - Electronic Circuit Breakers</t>
  </si>
  <si>
    <t>MTR01145</t>
  </si>
  <si>
    <t>MTR01245</t>
  </si>
  <si>
    <t>Motor Commutator Thermostat Alarm (N.O.)</t>
  </si>
  <si>
    <t>wasn’t too sure about this one, one of the examples shows Estops as not having loop numbers, and I also don’t see general pushbutton / control I/O unless it specifically controls a single device (like more simple control systems where a switch may turn on a Motor or device rather than indirectly controlling the code which may then trigger a loop)</t>
  </si>
  <si>
    <t>UL-001</t>
  </si>
  <si>
    <t>ZSS-004, ZSS-005, ZSS-006</t>
  </si>
  <si>
    <t>DIS-101</t>
  </si>
  <si>
    <t>SC-100, SC-110</t>
  </si>
  <si>
    <t>MTR-100, MTR-110, BLW-100, BLW-110, ST-100, ST-110</t>
  </si>
  <si>
    <t>MTR01145, MTR01245, ENC02022, ENC02052, MTR00916, MTR01016</t>
  </si>
  <si>
    <t>Mill - Top / Btm Roll - 300HP DC Motors
Mill - Top / Btm Roll - DC Motor Encoders
Mill - Top / Btm Roll - DC Motor Blower Fans</t>
  </si>
  <si>
    <t>ENC02022</t>
  </si>
  <si>
    <t>ENC02052</t>
  </si>
  <si>
    <t>MTR00916</t>
  </si>
  <si>
    <t>MTR01016</t>
  </si>
  <si>
    <t>MTR-100</t>
  </si>
  <si>
    <t>MTR-110</t>
  </si>
  <si>
    <t>BLW-100</t>
  </si>
  <si>
    <t>BLW-110</t>
  </si>
  <si>
    <t>ST-100</t>
  </si>
  <si>
    <t>ST-110</t>
  </si>
  <si>
    <t>DRV01145</t>
  </si>
  <si>
    <t>DRV01245</t>
  </si>
  <si>
    <t>(Encoder Input)</t>
  </si>
  <si>
    <t>Top Mill Motor Encoder</t>
  </si>
  <si>
    <t>DIS-100, DIS-110</t>
  </si>
  <si>
    <t>This HIM is mounted on the MCC doors for safe operator use.</t>
  </si>
  <si>
    <t>This HIM is directly mounted TO the DC drive in the cabinet, for ease of troubleshooting / commissioning.</t>
  </si>
  <si>
    <t>LIT-201, TIT-202</t>
  </si>
  <si>
    <t>TIT-300</t>
  </si>
  <si>
    <t>PIT-301, PIT-402, PIT-409, PIT-410, PIT-502, PIT-509, PIT-510</t>
  </si>
  <si>
    <t>PSV-403, PSV-503</t>
  </si>
  <si>
    <t>PSV-417, PSV-418, PSV-517, PSV-518</t>
  </si>
  <si>
    <t>PDS-303, PDS-404, PDS-504</t>
  </si>
  <si>
    <t>PIT-301</t>
  </si>
  <si>
    <t>PIT-402</t>
  </si>
  <si>
    <t>PIT-409</t>
  </si>
  <si>
    <t>PIT-410</t>
  </si>
  <si>
    <t>PIT-502</t>
  </si>
  <si>
    <t>PIT-509</t>
  </si>
  <si>
    <t>PIT-510</t>
  </si>
  <si>
    <t>DIS-100</t>
  </si>
  <si>
    <t>DIS-110</t>
  </si>
  <si>
    <t>300</t>
  </si>
  <si>
    <t>NOTE: Multiple tags must be seperated with a COMMA and a SPACE:
"TAG1, TAG2, TAG3"</t>
  </si>
  <si>
    <t>n/a</t>
  </si>
  <si>
    <t>XV-400</t>
  </si>
  <si>
    <t>VDP-400, XV-400, PRV-401, VDP-500, XV-500, PRV-501</t>
  </si>
  <si>
    <t>MTR-400, MTR-500</t>
  </si>
  <si>
    <t>MTR-300</t>
  </si>
  <si>
    <t>PMP-300</t>
  </si>
  <si>
    <t>HEX-300, MTR-301, MTR-302</t>
  </si>
  <si>
    <t>Only Add P&amp;ID Tags to the primary Sensor / Equipment. Only give accessories tags if they are a control element or another sensor.</t>
  </si>
  <si>
    <t>VND-400</t>
  </si>
  <si>
    <t>VND-400, VND-500</t>
  </si>
  <si>
    <t>PE-408, PE-508</t>
  </si>
  <si>
    <t>PCV-408, PCV-508</t>
  </si>
  <si>
    <t>ZT-411, ZT-511</t>
  </si>
  <si>
    <t>ACC-400, ACC-500</t>
  </si>
  <si>
    <t>SAF-400, XSV-412, PSV-413, SAF-500, XSV-512, PSV-513</t>
  </si>
  <si>
    <t>PG-414, PG-514</t>
  </si>
  <si>
    <t>ZSV-415, ZSV-416, ZSV-515, ZSV-516</t>
  </si>
  <si>
    <t>TT-702, TT-703</t>
  </si>
  <si>
    <t>ZS-611, ZS-612, ZS-623, ZS-631, ZS-632, ZS-643</t>
  </si>
  <si>
    <t>SFR-600, PRV-600, PIT-601</t>
  </si>
  <si>
    <t>MAN-600, MAN-601</t>
  </si>
  <si>
    <t>ZV-610, ZV-620, ZV-630, ZV-640</t>
  </si>
  <si>
    <t>FCV-610, FCV-611, FCV-630, FCV-631</t>
  </si>
  <si>
    <t>FCV-620, FCV-621, FCV-640, FCV-641</t>
  </si>
  <si>
    <t>PRV-621, PIT-622, PRV-641, PIT-642</t>
  </si>
  <si>
    <t>CYL-620, CYL-640</t>
  </si>
  <si>
    <t>CYL-610, CYL-630</t>
  </si>
  <si>
    <t>TNK-200</t>
  </si>
  <si>
    <t>ZS-700, ZS-705</t>
  </si>
  <si>
    <t>CYL-400, CYL-500</t>
  </si>
  <si>
    <t>TNK-200, BRT-200, LG-200</t>
  </si>
  <si>
    <t>FIL-300</t>
  </si>
  <si>
    <t>FIL-400, FIL-500</t>
  </si>
  <si>
    <t>MAN-400, MAN-500</t>
  </si>
  <si>
    <t>VCK-400, VCK-500</t>
  </si>
  <si>
    <t>VBL-400, VBL-401, VBL-402, VBL-500, VBL-501, VBL-502</t>
  </si>
  <si>
    <t>PE-408</t>
  </si>
  <si>
    <t>PE-508</t>
  </si>
  <si>
    <t>ZS-612</t>
  </si>
  <si>
    <t>ZS-632</t>
  </si>
  <si>
    <t>ZS-411</t>
  </si>
  <si>
    <t>ZS-511</t>
  </si>
  <si>
    <t>ZSS-701</t>
  </si>
  <si>
    <t>ZSS-704</t>
  </si>
  <si>
    <t>ZT-411</t>
  </si>
  <si>
    <t>ZT-511</t>
  </si>
  <si>
    <t>BRT-200</t>
  </si>
  <si>
    <t>MTR-400</t>
  </si>
  <si>
    <t>MTR-500</t>
  </si>
  <si>
    <t>HEX-300</t>
  </si>
  <si>
    <t>MTR-301</t>
  </si>
  <si>
    <t>MTR-302</t>
  </si>
  <si>
    <t>VDP-400</t>
  </si>
  <si>
    <t>VDP-500</t>
  </si>
  <si>
    <t>XV-500</t>
  </si>
  <si>
    <t>VND-500</t>
  </si>
  <si>
    <t>VCK-400</t>
  </si>
  <si>
    <t>VCK-500</t>
  </si>
  <si>
    <t>FIL-400</t>
  </si>
  <si>
    <t>FIL-500</t>
  </si>
  <si>
    <t>SAF-400</t>
  </si>
  <si>
    <t>SAF-500</t>
  </si>
  <si>
    <t>ACC-400</t>
  </si>
  <si>
    <t>ACC-500</t>
  </si>
  <si>
    <t>VBL-400</t>
  </si>
  <si>
    <t>VBL-401</t>
  </si>
  <si>
    <t>VBL-402</t>
  </si>
  <si>
    <t>VBL-500</t>
  </si>
  <si>
    <t>VBL-501</t>
  </si>
  <si>
    <t>VBL-502</t>
  </si>
  <si>
    <t>CYL-400</t>
  </si>
  <si>
    <t>CYL-500</t>
  </si>
  <si>
    <t>MAN-400</t>
  </si>
  <si>
    <t>MAN-500</t>
  </si>
  <si>
    <t>SFR-600</t>
  </si>
  <si>
    <t>PIT-601</t>
  </si>
  <si>
    <t>MAN-600</t>
  </si>
  <si>
    <t>MAN-601</t>
  </si>
  <si>
    <t>FCV-610</t>
  </si>
  <si>
    <t>FCV-611</t>
  </si>
  <si>
    <t>FCV-630</t>
  </si>
  <si>
    <t>FCV-631</t>
  </si>
  <si>
    <t>CYL-610</t>
  </si>
  <si>
    <t>CYL-630</t>
  </si>
  <si>
    <t>PIT-622</t>
  </si>
  <si>
    <t>PIT-642</t>
  </si>
  <si>
    <t>FCV-620</t>
  </si>
  <si>
    <t>FCV-621</t>
  </si>
  <si>
    <t>FCV-640</t>
  </si>
  <si>
    <t>FCV-641</t>
  </si>
  <si>
    <t>CYL-620</t>
  </si>
  <si>
    <t>CYL-640</t>
  </si>
  <si>
    <t>Instrument</t>
  </si>
  <si>
    <t>Equipment</t>
  </si>
  <si>
    <t>100</t>
  </si>
  <si>
    <t>408</t>
  </si>
  <si>
    <t>508</t>
  </si>
  <si>
    <t>702</t>
  </si>
  <si>
    <t>703</t>
  </si>
  <si>
    <t>700</t>
  </si>
  <si>
    <t>705</t>
  </si>
  <si>
    <t>611</t>
  </si>
  <si>
    <t>612</t>
  </si>
  <si>
    <t>623</t>
  </si>
  <si>
    <t>631</t>
  </si>
  <si>
    <t>632</t>
  </si>
  <si>
    <t>643</t>
  </si>
  <si>
    <t>201</t>
  </si>
  <si>
    <t>202</t>
  </si>
  <si>
    <t>400</t>
  </si>
  <si>
    <t>401</t>
  </si>
  <si>
    <t>402</t>
  </si>
  <si>
    <t>411</t>
  </si>
  <si>
    <t>500</t>
  </si>
  <si>
    <t>501</t>
  </si>
  <si>
    <t>502</t>
  </si>
  <si>
    <t>511</t>
  </si>
  <si>
    <t>701</t>
  </si>
  <si>
    <t>704</t>
  </si>
  <si>
    <t>301</t>
  </si>
  <si>
    <t>409</t>
  </si>
  <si>
    <t>410</t>
  </si>
  <si>
    <t>509</t>
  </si>
  <si>
    <t>510</t>
  </si>
  <si>
    <t>101</t>
  </si>
  <si>
    <t>200</t>
  </si>
  <si>
    <t>302</t>
  </si>
  <si>
    <t>403</t>
  </si>
  <si>
    <t>503</t>
  </si>
  <si>
    <t>417</t>
  </si>
  <si>
    <t>418</t>
  </si>
  <si>
    <t>517</t>
  </si>
  <si>
    <t>518</t>
  </si>
  <si>
    <t>415</t>
  </si>
  <si>
    <t>416</t>
  </si>
  <si>
    <t>515</t>
  </si>
  <si>
    <t>516</t>
  </si>
  <si>
    <t>303</t>
  </si>
  <si>
    <t>404</t>
  </si>
  <si>
    <t>504</t>
  </si>
  <si>
    <t>412</t>
  </si>
  <si>
    <t>413</t>
  </si>
  <si>
    <t>512</t>
  </si>
  <si>
    <t>513</t>
  </si>
  <si>
    <t>414</t>
  </si>
  <si>
    <t>514</t>
  </si>
  <si>
    <t>600</t>
  </si>
  <si>
    <t>601</t>
  </si>
  <si>
    <t>610</t>
  </si>
  <si>
    <t>620</t>
  </si>
  <si>
    <t>630</t>
  </si>
  <si>
    <t>640</t>
  </si>
  <si>
    <t>621</t>
  </si>
  <si>
    <t>622</t>
  </si>
  <si>
    <t>641</t>
  </si>
  <si>
    <t>642</t>
  </si>
  <si>
    <t>Mill Status Light</t>
  </si>
  <si>
    <t>Top Roll Motor</t>
  </si>
  <si>
    <t>Btm Roll Motor</t>
  </si>
  <si>
    <t>Btm Roll Motor - Blower Motor</t>
  </si>
  <si>
    <t>Top Roll Motor - Blower Motor</t>
  </si>
  <si>
    <t>HYD Tank</t>
  </si>
  <si>
    <t>HYD Kidney Loop - Heat Exchanger Fan 2 Motor</t>
  </si>
  <si>
    <t>HYD Kidney Loop - Pressure Relief Valve</t>
  </si>
  <si>
    <t>HYD Kidney Loop - Heat Exchanger Fan 1 Motor</t>
  </si>
  <si>
    <t>HYD Kidney Loop - Pressure Sensor</t>
  </si>
  <si>
    <t>HYD Kidney Loop - Filter</t>
  </si>
  <si>
    <t>HYD Kidney Loop - Pump</t>
  </si>
  <si>
    <t>HYD Kidney Loop - Heat Exchanger</t>
  </si>
  <si>
    <t>HYD Kidney Loop - Pump Motor</t>
  </si>
  <si>
    <t>HYD Tank - Temp Alarm Switch</t>
  </si>
  <si>
    <t>HYD Tank - Level Float Alarm Switch</t>
  </si>
  <si>
    <t>HYD Tank - Breather</t>
  </si>
  <si>
    <t>HYD Tank - Level Sight Gauge</t>
  </si>
  <si>
    <t>Btm Roll Motor - Drive</t>
  </si>
  <si>
    <t>Btm Roll Motor - Drive HIM Display</t>
  </si>
  <si>
    <t>Btm Roll Motor - Encoder</t>
  </si>
  <si>
    <t>Top Roll Motor - Drive</t>
  </si>
  <si>
    <t>Top Roll Motor - Drive HIM Display</t>
  </si>
  <si>
    <t>Top Roll Motor - Encoder</t>
  </si>
  <si>
    <t>Perimeter Fencing - Exit Side Door Interlock</t>
  </si>
  <si>
    <t>Perimeter Fencing - Entry Side Door Interlock</t>
  </si>
  <si>
    <t>Perimeter Fencing - Drive Side Door Interlock</t>
  </si>
  <si>
    <t>HYD Kidney Loop - Filter Dirty Pressure Switch</t>
  </si>
  <si>
    <t>HYD DR Cylinder Pump - Standby Pressure Dump Valve</t>
  </si>
  <si>
    <t>HYD DR Cylinder Pump - Motor</t>
  </si>
  <si>
    <t>HYD DR Cylinder Accumulator - Pressure Gauge Damping Valve</t>
  </si>
  <si>
    <t>HYD DR Cylinder Accumulator</t>
  </si>
  <si>
    <t>HYD DR Cylinder - Cylinder Mounted Manifold</t>
  </si>
  <si>
    <t>HYD DR Cylinder</t>
  </si>
  <si>
    <t>HYD DR Cylinder Pump - Filter</t>
  </si>
  <si>
    <t>ZS-405, ZS-406, ZS-407, ZS-411, ZS-505, ZS-506, ZS-507, ZS-511, ZSS-701, ZSS-704</t>
  </si>
  <si>
    <t>HYD Kidney Loop - Tank Fluid Temp Sensor</t>
  </si>
  <si>
    <t>406</t>
  </si>
  <si>
    <t>407</t>
  </si>
  <si>
    <t>505</t>
  </si>
  <si>
    <t>506</t>
  </si>
  <si>
    <t>507</t>
  </si>
  <si>
    <t>405</t>
  </si>
  <si>
    <t>HYD DR Cylinder Pump - Pressure Line Ball Valve</t>
  </si>
  <si>
    <t>HYD DR Cylinder Pump - Line Pressure Sensor</t>
  </si>
  <si>
    <t>HYD DR Cylinder Pump - Line Pressure Relief Valve</t>
  </si>
  <si>
    <t>HYD DR Cylinder - Line Pressure Ball Valve</t>
  </si>
  <si>
    <t>HYD DR Cylinder Pump - Filter Dirty Pressure Switch</t>
  </si>
  <si>
    <t>HYD DR Cylinder Pump - Pressure Shutoff Valve Position Switch</t>
  </si>
  <si>
    <t>HYD DR Cylinder - Pressure Shutoff Valve Position Switch</t>
  </si>
  <si>
    <t>HYD DR Cylinder - Tank Return Shutoff Valve Position Switch</t>
  </si>
  <si>
    <t>HYD DR Cylinder Pump - Line Pressure Check Valve</t>
  </si>
  <si>
    <t>HYD DR Cylinder Pump - Pump Line Pressure Setting Valve</t>
  </si>
  <si>
    <t>HYD DR Cylinder - Proportional Control Valve</t>
  </si>
  <si>
    <t>Mill DR Roll - Load Cell</t>
  </si>
  <si>
    <t>Mill OP Roll - Load Cell</t>
  </si>
  <si>
    <t>HYD DR Cylinder - Cap Side Pressure Sensor</t>
  </si>
  <si>
    <t>HYD DR Cylinder - Rod Side Pressure Sensor</t>
  </si>
  <si>
    <t>Mill DR Roll - Top Limit Position Switch</t>
  </si>
  <si>
    <t>Mill DR Roll - Position Transducer</t>
  </si>
  <si>
    <t>HYD DR Cylinder Accumulator - Safety Block</t>
  </si>
  <si>
    <t>HYD DR Cylinder Accumulator - Pressure Dump Valve</t>
  </si>
  <si>
    <t>HYD DR Cylinder Accumulator - Pressure Relief Valve</t>
  </si>
  <si>
    <t>HYD DR Cylinder Accumulator - Pressure Gauge</t>
  </si>
  <si>
    <t>HYD DR Cylinder - Cap Side Position Locking Check Valve</t>
  </si>
  <si>
    <t>HYD DR Cylinder - Rod Side Position Locking Check Valve</t>
  </si>
  <si>
    <t>HYD DR Cylinder - Cap Side Pressure Relief Valve</t>
  </si>
  <si>
    <t>HYD DR Cylinder - Rod Side Pressure Relief Valve</t>
  </si>
  <si>
    <t>HYD OP Cylinder Pump - Standby Pressure Dump Valve</t>
  </si>
  <si>
    <t>HYD OP Cylinder Accumulator - Pressure Gauge Damping Valve</t>
  </si>
  <si>
    <t>HYD OP Cylinder Accumulator - Safety Block</t>
  </si>
  <si>
    <t>HYD OP Cylinder Accumulator</t>
  </si>
  <si>
    <t>HYD OP Cylinder - Cylinder Mounted Manifold</t>
  </si>
  <si>
    <t>HYD OP Cylinder Pump - Pressure Line Ball Valve</t>
  </si>
  <si>
    <t>HYD OP Cylinder</t>
  </si>
  <si>
    <t>HYD OP Cylinder Pump - Filter</t>
  </si>
  <si>
    <t>HYD OP Cylinder Pump - Motor</t>
  </si>
  <si>
    <t>HYD OP Cylinder Pump - Line Pressure Check Valve</t>
  </si>
  <si>
    <t>HYD OP Cylinder Pump - Pump Line Pressure Setting Valve</t>
  </si>
  <si>
    <t>HYD OP Cylinder Pump (Variable Displacement)</t>
  </si>
  <si>
    <t>HYD DR Cylinder Pump (Variable Displacement)</t>
  </si>
  <si>
    <t>HYD OP Cylinder - Line Pressure Ball Valve</t>
  </si>
  <si>
    <t>HYD OP Cylinder - Tank Return Ball Valve</t>
  </si>
  <si>
    <t>HYD DR Cylinder - Tank Return Ball Valve</t>
  </si>
  <si>
    <t>HYD OP Cylinder Pump - Line Pressure Sensor</t>
  </si>
  <si>
    <t>HYD OP Cylinder Pump - Line Pressure Relief Valve</t>
  </si>
  <si>
    <t>HYD OP Cylinder Pump - Filter Dirty Pressure Switch</t>
  </si>
  <si>
    <t>HYD OP Cylinder Pump - Pressure Shutoff Valve Position Switch</t>
  </si>
  <si>
    <t>HYD OP Cylinder - Pressure Shutoff Valve Position Switch</t>
  </si>
  <si>
    <t>HYD OP Cylinder - Tank Return Shutoff Valve Position Switch</t>
  </si>
  <si>
    <t>HYD OP Cylinder - Proportional Control Valve</t>
  </si>
  <si>
    <t>HYD OP Cylinder - Cap Side Pressure Sensor</t>
  </si>
  <si>
    <t>HYD OP Cylinder - Rod Side Pressure Sensor</t>
  </si>
  <si>
    <t>Mill OP Roll - Position Transducer</t>
  </si>
  <si>
    <t>Mill OP Roll - Top Limit Position Switch</t>
  </si>
  <si>
    <t>HYD OP Cylinder Accumulator - Pressure Dump Valve</t>
  </si>
  <si>
    <t>HYD OP Cylinder Accumulator - Pressure Relief Valve</t>
  </si>
  <si>
    <t>HYD OP Cylinder Accumulator - Pressure Gauge</t>
  </si>
  <si>
    <t>HYD OP Cylinder - Cap Side Position Locking Check Valve</t>
  </si>
  <si>
    <t>HYD OP Cylinder - Rod Side Position Locking Check Valve</t>
  </si>
  <si>
    <t>HYD OP Cylinder - Cap Side Pressure Relief Valve</t>
  </si>
  <si>
    <t>HYD OP Cylinder - Rod Side Pressure Relief Valve</t>
  </si>
  <si>
    <t>PNU Main Feed - Pressure Sensor</t>
  </si>
  <si>
    <t>PNU Main Feed - Shutoff / Filter Pressure Regulator Valve</t>
  </si>
  <si>
    <t>PNU Top Roll - Manifold</t>
  </si>
  <si>
    <t>PNU Btm Roll - Manifold</t>
  </si>
  <si>
    <t>PNU Main Feed - Shutoff / Filter / Regulator Unit</t>
  </si>
  <si>
    <t>Extend flow control (Meter Out)</t>
  </si>
  <si>
    <t>Retract flow control (Meter Out)</t>
  </si>
  <si>
    <t>PNU Top Roll Wiper Pressure - Directional Valve</t>
  </si>
  <si>
    <t>PNU Top Roll Wiper Pivot Out - Position Reed Switch</t>
  </si>
  <si>
    <t>PNU Top Roll Wiper Pivot Out - Flow Control Valve</t>
  </si>
  <si>
    <t>PNU Top Roll Wiper Pivot In - Position Reed Switch</t>
  </si>
  <si>
    <t>PNU Top Roll Wiper Pivot - Cylinder</t>
  </si>
  <si>
    <t>PNU Top Roll Wiper Pivot In - Flow Control Valve</t>
  </si>
  <si>
    <t>PNU Top Roll Wiper Pivot - Diractional Valve</t>
  </si>
  <si>
    <t>PNU Top Roll Wiper Pressure In - Flow Control Valve</t>
  </si>
  <si>
    <t>PNU Top Roll Wiper Pressure - Cylinder</t>
  </si>
  <si>
    <t>PNU Top Roll Wiper Pressure - Regulator Valve</t>
  </si>
  <si>
    <t>PNU Top Roll Wiper Pressure Out - Flow Control Valve</t>
  </si>
  <si>
    <t>PNU Top Roll Wiper Pressure - Regulator Pressure Sensor</t>
  </si>
  <si>
    <t>PNU Top Roll Wiper Pressure Out - Position Reed Switch</t>
  </si>
  <si>
    <t>PNU Btm Roll Wiper Pivot - Diractional Valve</t>
  </si>
  <si>
    <t>PNU Btm Roll Wiper Pivot In - Flow Control Valve</t>
  </si>
  <si>
    <t>PNU Btm Roll Wiper Pivot - Cylinder</t>
  </si>
  <si>
    <t>PNU Btm Roll Wiper Pivot In - Position Reed Switch</t>
  </si>
  <si>
    <t>PNU Btm Roll Wiper Pivot Out - Flow Control Valve</t>
  </si>
  <si>
    <t>PNU Btm Roll Wiper Pivot Out - Position Reed Switch</t>
  </si>
  <si>
    <t>PNU Btm Roll Wiper Pressure - Directional Valve</t>
  </si>
  <si>
    <t>PNU Btm Roll Wiper Pressure In - Flow Control Valve</t>
  </si>
  <si>
    <t>PNU Btm Roll Wiper Pressure - Cylinder</t>
  </si>
  <si>
    <t>PNU Btm Roll Wiper Pressure - Regulator Valve</t>
  </si>
  <si>
    <t>PNU Btm Roll Wiper Pressure Out - Flow Control Valve</t>
  </si>
  <si>
    <t>PNU Btm Roll Wiper Pressure - Regulator Pressure Sensor</t>
  </si>
  <si>
    <t>PNU Btm Roll Wiper Pressure Out - Position Reed Switch</t>
  </si>
  <si>
    <t>Mill Exit Apron - Part Present Sensor</t>
  </si>
  <si>
    <t>Mill Entry Apron - Apron Crash Detected Position Switch</t>
  </si>
  <si>
    <t>Mill Entry Apron - Part Present Position Switch</t>
  </si>
  <si>
    <t>Mill Exit Apron - Apron Crash Detected Position Switch</t>
  </si>
  <si>
    <t>Mill Top Roll - Roll Temperature Sensor</t>
  </si>
  <si>
    <t>Mill Btm Roll - Roll Temperature Sensor</t>
  </si>
  <si>
    <t>Operator Station HMI Display</t>
  </si>
  <si>
    <t>W</t>
  </si>
  <si>
    <t>(Per QTY)</t>
  </si>
  <si>
    <t>BTU/hr Losses</t>
  </si>
  <si>
    <t xml:space="preserve">need to account for cabinets </t>
  </si>
  <si>
    <t>External</t>
  </si>
  <si>
    <t>Mill - Top / Btm Roll - DC Motor Encoders</t>
  </si>
  <si>
    <t>Mill - Top / Btm Roll - DC Motor Blower Fans</t>
  </si>
  <si>
    <r>
      <t>Hydraulic Power Unit, Control Cabinet (</t>
    </r>
    <r>
      <rPr>
        <b/>
        <sz val="11"/>
        <color theme="1"/>
        <rFont val="Aptos Narrow"/>
        <family val="2"/>
        <scheme val="minor"/>
      </rPr>
      <t>CC2</t>
    </r>
    <r>
      <rPr>
        <sz val="11"/>
        <color theme="1"/>
        <rFont val="Aptos Narrow"/>
        <family val="2"/>
        <scheme val="minor"/>
      </rPr>
      <t>)</t>
    </r>
  </si>
  <si>
    <r>
      <t>Mill, Control Cabinet (</t>
    </r>
    <r>
      <rPr>
        <b/>
        <sz val="11"/>
        <color theme="1"/>
        <rFont val="Aptos Narrow"/>
        <family val="2"/>
        <scheme val="minor"/>
      </rPr>
      <t>CC1</t>
    </r>
    <r>
      <rPr>
        <sz val="11"/>
        <color theme="1"/>
        <rFont val="Aptos Narrow"/>
        <family val="2"/>
        <scheme val="minor"/>
      </rPr>
      <t>) - Delta Servo controller</t>
    </r>
  </si>
  <si>
    <r>
      <t>Operator Station (</t>
    </r>
    <r>
      <rPr>
        <b/>
        <sz val="11"/>
        <color theme="1"/>
        <rFont val="Aptos Narrow"/>
        <family val="2"/>
        <scheme val="minor"/>
      </rPr>
      <t>OS1</t>
    </r>
    <r>
      <rPr>
        <sz val="11"/>
        <color theme="1"/>
        <rFont val="Aptos Narrow"/>
        <family val="2"/>
        <scheme val="minor"/>
      </rPr>
      <t>) Remote Rack</t>
    </r>
  </si>
  <si>
    <r>
      <t>Mill, Control Cabinet (</t>
    </r>
    <r>
      <rPr>
        <b/>
        <sz val="11"/>
        <color theme="1"/>
        <rFont val="Aptos Narrow"/>
        <family val="2"/>
        <scheme val="minor"/>
      </rPr>
      <t>CC1</t>
    </r>
    <r>
      <rPr>
        <sz val="11"/>
        <color theme="1"/>
        <rFont val="Aptos Narrow"/>
        <family val="2"/>
        <scheme val="minor"/>
      </rPr>
      <t>) - Mill Remote Rack</t>
    </r>
  </si>
  <si>
    <r>
      <t>Main Control Cabinet (</t>
    </r>
    <r>
      <rPr>
        <b/>
        <sz val="11"/>
        <color theme="1"/>
        <rFont val="Aptos Narrow"/>
        <family val="2"/>
        <scheme val="minor"/>
      </rPr>
      <t>MCC</t>
    </r>
    <r>
      <rPr>
        <sz val="11"/>
        <color theme="1"/>
        <rFont val="Aptos Narrow"/>
        <family val="2"/>
        <scheme val="minor"/>
      </rPr>
      <t>) - Remote Rack</t>
    </r>
  </si>
  <si>
    <r>
      <t>Main Control Cabinet (</t>
    </r>
    <r>
      <rPr>
        <b/>
        <sz val="11"/>
        <color theme="1"/>
        <rFont val="Aptos Narrow"/>
        <family val="2"/>
        <scheme val="minor"/>
      </rPr>
      <t>MCC</t>
    </r>
    <r>
      <rPr>
        <sz val="11"/>
        <color theme="1"/>
        <rFont val="Aptos Narrow"/>
        <family val="2"/>
        <scheme val="minor"/>
      </rPr>
      <t>) - Main PLC</t>
    </r>
  </si>
  <si>
    <t>VDC</t>
  </si>
  <si>
    <t>VAC (3P ∆)</t>
  </si>
  <si>
    <t>SIC-100, SC-100</t>
  </si>
  <si>
    <t>SIC-110, SC-110</t>
  </si>
  <si>
    <t>don’t have motor nameplate yet, don’t know the info</t>
  </si>
  <si>
    <t>Emergency Stop Status</t>
  </si>
  <si>
    <t>Pump / Line Pressure</t>
  </si>
  <si>
    <t>%</t>
  </si>
  <si>
    <t>Max Efficiency or Losses</t>
  </si>
  <si>
    <t>Noise (dBA)</t>
  </si>
  <si>
    <t>MAIN CYLINDER A/B RELIEF VALVES (SHOCK PROTECTION)</t>
  </si>
  <si>
    <t>5-15V Excitation, 175Ω bridge resistance, 2m/V V output</t>
  </si>
  <si>
    <t>1800BTU/hr (528W) heat transfer from MCC to external</t>
  </si>
  <si>
    <t>Standby AC consumption = 0.15W
N.O. Indicating contact = 1.2W (24VDC @ 0.05mA PLC Input) Only indicates when tripped.</t>
  </si>
  <si>
    <t>K-Factor = 4, 4-6% impedance</t>
  </si>
  <si>
    <t>couldn’t find heat generated</t>
  </si>
  <si>
    <t>Some devices are also in multiple locations. Need to rework the main table to change how quantities are designated. May have to split everything by tags? But that gets tricky between all the different BOMs…</t>
  </si>
  <si>
    <t>Power (W or VA)</t>
  </si>
  <si>
    <t>KA30U, AL Universal Terminal, 1-Hole, #6 AWG Str-300 kcmil, 5/16" Stud, 1 Screw, Al/Cu Rated</t>
  </si>
  <si>
    <t>8 Analog Inputs, ±10V or 4-20mA</t>
  </si>
  <si>
    <t>7-Slot Base</t>
  </si>
  <si>
    <t>4 Analog Outputs, ±10V, 4-20mA, or ±20mA, with Fault Inputs and Enable Outputs</t>
  </si>
  <si>
    <t>Motion controller central processing unit</t>
  </si>
  <si>
    <t>8 Load Cell Inputs, ±5mV/V, with Sense Input</t>
  </si>
  <si>
    <t>8 SSI or MDT Inputs, support one quadrature input</t>
  </si>
  <si>
    <t>4 Control Loop Key</t>
  </si>
  <si>
    <t>Blank Slot Cover</t>
  </si>
  <si>
    <t>THH – Head module including hinged actuator
RZ – Variable Length Escape Release
GN – Master Personnel (Safety) Lock (No Key)*
SMEL – Safety contacts on head element only (Power-to-Lock)
Q5 – 12 Pin M23 QD</t>
  </si>
  <si>
    <t>Panel Interface Connector with Category 6 Ethernet Bulkhead [Qty: 2]; Panel Mount Housing; UL Type 4; GFCI Duplex Inside-Outlet; No Circuit Breaker</t>
  </si>
  <si>
    <t>Voltage Indicator with Flashing LEDs and Warning Label </t>
  </si>
  <si>
    <t>HCS05-1500T</t>
  </si>
  <si>
    <t>1500 Ton Load Cell</t>
  </si>
  <si>
    <t>18,000 BTU, 480VAC, Verticle mount AC unit</t>
  </si>
  <si>
    <t>ED-Strip-RGBW-transp-1000mm-cl</t>
  </si>
  <si>
    <t>6 bolt flange, 16mm OD clamp, 0.5bar max tank pressure, anodized aluminum, for capacitive level sensors LK, LI, LT, LL</t>
  </si>
  <si>
    <t>IFC263</t>
  </si>
  <si>
    <t>Inductive proximity sensor, flush mount, 2.5 mm sensing range (0.157"), M12x1 x 60mm long, 1 N.O. PNP switching output, 10…30VDC. Comes with locknuts.</t>
  </si>
  <si>
    <t>Mill - DR / OP Roll - Upper Limit Prox
HYD - DR / OP Cylinder - Pressure Ball Valve Shut Prox
HYD - DR / OP Cylinder - Return Ball Valve Shut Prox
HYD - DR / OP Pump - Ball Valve Shut Prox
Mill - Right / Left Apron Prox</t>
  </si>
  <si>
    <t>Electronic capacitive level and temperature sensor with digital display, 728mm probe length, 2 switching outputs level (OUT1, OUT2), 2 switching outputs temperature (OUT3, OUT4), PNP/NPN, for mineral oils, 0.5bar max tank pressure (using E43001…E43007, E43019 mount), 10…30VDC, -4°F...194°F and 60...590mm measuring ranges. 16mm probe OD</t>
  </si>
  <si>
    <t>T-slot cylinder sensor with reed contact</t>
  </si>
  <si>
    <t>Retro-reflective sensor</t>
  </si>
  <si>
    <t>Mill - Right / Left Apron - Part Present Sensors</t>
  </si>
  <si>
    <t>Pressure sensor with digital display, 0...5800psi sensing range, 1/4" NPT male, 2 digital outputs and/or 1 analog output, PNP/NPN N.O./N.C. (configurable), 0-10V or 4-20mA analog signal, 10…30VDC</t>
  </si>
  <si>
    <t>Temperature Sensor w/ Display and button controls. -58…302°F, 1/4" NPT, 25mm probe length, 18…32VDC, 2 total outputs, 2 digital outputs or 1 digital and 1 analog output (PNP/NPN, NC/NO, 4…20mA / 0…10V configurable), w/ IO Link.</t>
  </si>
  <si>
    <t>Infrared temperature sensor</t>
  </si>
  <si>
    <t>Transmissive Sensor Head, Area Type, 10-mm Wide</t>
  </si>
  <si>
    <t>Amplifier, Cable, Main unit, NPN</t>
  </si>
  <si>
    <t>Distribution Block</t>
  </si>
  <si>
    <t>Power Terminal Block, 1000 Volt, 1605 Amp</t>
  </si>
  <si>
    <t>Power Terminal Block Cover</t>
  </si>
  <si>
    <t>Distribution Block Cover For Marathon 1353605</t>
  </si>
  <si>
    <t>Fuse Block 600VAC 600VDC Class J 600A 3-Pole Box In-Line Clip</t>
  </si>
  <si>
    <t>Fuse A4BQ - Class L - Time-Delay 600VAC 500VDC 1200A Blade Amp-Trap 2000®</t>
  </si>
  <si>
    <t>Fuse AJT - Class J - Time-delay 600VAC 500VDC 500A Blade SmartSpot® Amp-Trap 2000®</t>
  </si>
  <si>
    <t>Fuse ATDR - Class CC - Time-Delay 600VAC 300VDC 7A Ferrule Amp-Trap 2000®</t>
  </si>
  <si>
    <t>Fuse ATQR - Class CC - Time-Delay 600VAC 300VDC 15A Ferrule Amp-Trap 2000®</t>
  </si>
  <si>
    <t>Fuse ATQR - Class CC - Time-Delay 600VAC 300VDC 3A Ferrule Amp-Trap 2000®</t>
  </si>
  <si>
    <t>274 mm Disconnect Handle Red</t>
  </si>
  <si>
    <t>Mersen’s lugs enable the user to attach wires to our switches. We offer a number of configurations based on ampacity and wire size. Jumper bars are used for our DC switches. 1200 Amps</t>
  </si>
  <si>
    <t>UL 98 Fusible Switch 600VAC Class L 1200A 3-Pole Configuration: 3-0</t>
  </si>
  <si>
    <t>535 mm Shaft</t>
  </si>
  <si>
    <t>Magnet for Linear Position Transducer</t>
  </si>
  <si>
    <t>Linear Position Transducer</t>
  </si>
  <si>
    <t>StructuredGround™ UGB2/0-414-18 Universal Grd Bar, Silver, Copper, Tin-Plated</t>
  </si>
  <si>
    <t>Primary-switched power supply unit, TRIO POWER, Push-in connection, DIN rail mounting, input: 3-phase, output: 24 V DC / 40 A, adjustable from 24 V DC ... 28 V DC</t>
  </si>
  <si>
    <t>Sensor/actuator cable, 4-position, free cable end, on Valve connector AD (pressure switch), Wiring: unwired, cable length: Free input (0.2 ... 40.0 m)</t>
  </si>
  <si>
    <t>Sensor/actuator cable, 5-position, PVC, yellow, free cable end, on Socket straight M12, coding: A, cable length: 10 m</t>
  </si>
  <si>
    <t>5P M12 Sensor Cable:
Status Light</t>
  </si>
  <si>
    <t>Sensor/actuator cable, 3-position, PVC, black RAL 9005, free cable end, on Valve connector A, with 1 LED, Wiring: Z diode, cable length: 10 m</t>
  </si>
  <si>
    <t>Sensor/actuator cable, 4-position, PUR halogen-free, black-gray RAL 7021, shielded (Advanced Shielding Technology), free cable end, on Socket straight M12, coding: A, cable length: 10 m</t>
  </si>
  <si>
    <t>Sensor/actuator cable, 5-position, PUR halogen-free, black-gray RAL 7021, shielded (Advanced Shielding Technology), free cable end, on Socket straight M12, coding: A, cable length: 10 m</t>
  </si>
  <si>
    <t>Sensor/actuator cable, 8-position, PUR halogen-free, black-gray RAL 7021, free cable end, on Socket straight M12, coding: A, cable length: 10 m</t>
  </si>
  <si>
    <t>Sensor/actuator cable, 8-position, PUR halogen-free, black-gray RAL 7021, shielded, free cable end, on Socket straight M12, coding: A, cable length: 10 m</t>
  </si>
  <si>
    <t>Sensor/actuator cable, 4-position, PUR halogen-free, black-gray RAL 7021, free cable end, on Socket straight M12, coding: A, cable length: 10 m</t>
  </si>
  <si>
    <t>4P M12 Sensor Cables:
Mill - Right / Left Apron - Part Present Sensor
Mill - DR / OP Roll - Upper Limit Prox
HYD - Pump &amp; Cylinder - Ball Valve Shut Prox
PNU - Top / Btm Roll Wipers - Pivot In/Out Reed Switch
PNU - Top / Btm Roll Wipers - Pressure Retracted Reed Switch</t>
  </si>
  <si>
    <t>Sensor/actuator cable, 3-position, PUR halogen-free, black-gray RAL 7021, free cable end, on Socket straight M8, coding: A, cable length: 10 m</t>
  </si>
  <si>
    <t>Multi-channel, electronic circuit breaker with active current limitation for protecting four loads at 24 V DC in the event of overload and short circuit. With nominal current assistant and electronic locking of the set nominal currents. For installation on DIN rails.</t>
  </si>
  <si>
    <t>Surge protective device,UL Listed type 1 and IEC type 2, three channel with remote indicator contact for 480 V AC DELTA.</t>
  </si>
  <si>
    <t>Contactor,9 A,IEC,110V 50 Hz / 120V 60 Hz.,AC,3 Normally Open Poles,1 NO Contacts &amp; 0 NC Contacts,Single Pack,Coil Terminal Stabs Installed,Line Side Coil Termination,Screw Terminals,Motor Load</t>
  </si>
  <si>
    <t>Contactor,12 A,110V 50 Hz / 120V 60 Hz.,AC,3 Normally Open Poles,1 NO Contacts &amp; 0 NC Contacts,Single Pack,Line Side Coil Termination,Screw Terminals,Motor Load</t>
  </si>
  <si>
    <t>Contactor,IEC,146 A,120 60V 50 60 Hz/24 60V DC,3 NO Poles,1 NO 1 NC Auxiliary Contacts,Bus Bar Connections</t>
  </si>
  <si>
    <t>Contactor,IEC, 460 A,100 250V 50 60 Hz/100 250V DC,3 NO Poles,1 NO 1 NC Auxiliary Contacts,With 24V DC PLC Interface,Bus Bar Connections</t>
  </si>
  <si>
    <t>Teminal Lugs, Set of 3, For 100 E400 100 E580 Contactors</t>
  </si>
  <si>
    <t>Terminal Shrouds, For 100 E400 100 E460 with Terminal Lugs</t>
  </si>
  <si>
    <t>For Connection to 140G or 140MG, Connection Between Contactors/Starters and Molded Case Circuit Breakers</t>
  </si>
  <si>
    <t>9 A Safety Contactor</t>
  </si>
  <si>
    <t>Transformer,Isolation,330 kVA,460V AC Primary,460V AC Secondary,Three Phase,Floor Mounting</t>
  </si>
  <si>
    <t>Motor Protection Circuit Protectors, J Frame, 35 65 kA at 480V,Thermal/Magnetic, TMD, 150A</t>
  </si>
  <si>
    <t>140MG 400A K Frame Motor Ckt Protector</t>
  </si>
  <si>
    <t>Motor Circuit Protector, D Frame, 4A, No Overload Prt, High Breaking Capacity, Std Mgntc Trp (Fxd at 14 x le)</t>
  </si>
  <si>
    <t>Motor Circuit Protector, D Frame, 16A, No Overload Prt, High Breaking Capacity, Std Mgntc Trp (Fxd at 14 x le)</t>
  </si>
  <si>
    <t>1489 M Miniature Circuit Breaker, Standard configuration, AC, UL/CSA Max. Voltage: 240V AC, 48V DC, IEC/EN Max. Voltage: 230V AC, 1 Pole Configuration, Trip Curve D, 1A (UL 489)</t>
  </si>
  <si>
    <t>1489 M Miniature Circuit Breaker, Standard configuration, AC, UL/CSA Max. Voltage: 240V AC, 48V DC, IEC/EN Max. Voltage: 230V AC, 1 Pole Configuration, Trip Curve D, 2A (UL 489)</t>
  </si>
  <si>
    <t>1489 M Miniature Circuit Breaker, Standard configuration, AC, UL/CSA Max. Voltage: 240V AC, 48V DC, IEC/EN Max. Voltage: 230V AC, 1 Pole Configuration, Trip Curve D, 3A (UL 489)</t>
  </si>
  <si>
    <t>1489 M Miniature Circuit Breaker, Standard configuration, AC, UL/CSA Max. Voltage: 240V AC, 48V DC, IEC/EN Max. Voltage: 230V AC, 1 Pole Configuration, Trip Curve D, 4A (UL 489)</t>
  </si>
  <si>
    <t>1489 M Miniature Circuit Breaker, Standard configuration, AC, UL/CSA Max. Voltage: 240V AC, 48V DC, IEC/EN Max. Voltage: 230V AC, 1 Pole Configuration, Trip Curve D, 5A (UL 489)</t>
  </si>
  <si>
    <t>1489 M Miniature Circuit Breaker, Standard configuration, AC, UL/CSA Max. Voltage: 240V AC, 48V DC, IEC/EN Max. Voltage: 230V AC, 1 Pole Configuration, Trip Curve D, 50A (UL 489)</t>
  </si>
  <si>
    <t>Fuse Holder, 2 Pole Configuration, Class CC Type Fuses, 30A, LED Indicator</t>
  </si>
  <si>
    <t>Fuse Holder, 3 Pole Configuration, Class CC Type Fuses, 30A, LED Indicator</t>
  </si>
  <si>
    <t>Power Block Cover</t>
  </si>
  <si>
    <t>Power Block, Power Distribution Block, 3 pole, 2 Opening Line Side, 8 Opening Load Side, 760 Amps</t>
  </si>
  <si>
    <t>Transformer, Control Power, 500VA, Pri. 240X480V, Sec 120x240V, 60HZ, W/2Pri. &amp; 1Sec. Fuse, no taps</t>
  </si>
  <si>
    <t>1497D - CCT, 5.0kVA, 480V (50/60Hz) Primary, 0 Pri - 0 Sec Fuse Blocks, No Taps</t>
  </si>
  <si>
    <t>Network Adapter,POINT I/O,EtherNet/IP,Device Level Ring,63 Module Capacity on POINTBus,DIN Mounted</t>
  </si>
  <si>
    <t>Expansion Power Module,POINT I/O,400ma @24VDC Input, 1.3 A @5VDC Output to POINTBus,Open Style,DIN Mounted</t>
  </si>
  <si>
    <t>Input Module,POINT I/O,Digital,DC,8 Points Sinking 24VDC Input,Open Style,DIN Mounted</t>
  </si>
  <si>
    <t>DC Input Module,8 Points,Safety,IP20,POINT,24VDC, Sinking</t>
  </si>
  <si>
    <t>Input Module,POINT I/O,Analog,Voltage,2 Channels,Open Style,DIN Mounted</t>
  </si>
  <si>
    <t>Current Input Module,POINT I/O,Analog,24V Dc,8 Channels,Open Style,DIN Mounted</t>
  </si>
  <si>
    <t>Output Module,POINT I/O,Digital,DC,8 Points Sourcing 24VDC Output,Electronically Protected,Open Style,DIN Mounted</t>
  </si>
  <si>
    <t>DC Output Module,8 Points,Safety,IP20,POINT,24VDC, Sourcing</t>
  </si>
  <si>
    <t>Terminal Base,POINT I/O,One Piece,8 Screw Clamp Terminals,Open Style,DIN Mounted</t>
  </si>
  <si>
    <t>4 Slot Controllogix Chassis</t>
  </si>
  <si>
    <t>EtherNet 10 100M Interface Module (supports 128 TCP/IP connections)</t>
  </si>
  <si>
    <t>Safety Controller,GuardLogix,03MB Standard Memory,1.5MB Safety Memory, USB Port, 1Gb Ethernet port, 100 EtherNet/IP Devices, 4 Character Alpha/Numeric Display</t>
  </si>
  <si>
    <t>Slot Filler module for standard ControlLogix chassis</t>
  </si>
  <si>
    <t>ControlLogix, 19-32 VDC Power Supply (13 Amps @5V)</t>
  </si>
  <si>
    <t>Stratix 5200 switch, 18 copper 100/1000 ports, 2 Combo 100/1000 ports, full FW, DLR</t>
  </si>
  <si>
    <t>Overload Relay, Electronic, E300, Communication Module, EtherNet/IP, 2 Port Ethernet Switch, Device Level Ring</t>
  </si>
  <si>
    <t>Overload Relay, Electronic, E300, E200, Control Module, 24V DC, 6 Inputs, 3 Outputs, DeviceLogix Enabled</t>
  </si>
  <si>
    <t>Accessory, E300, E200, Contactor Coil Module, 100 C09 100 C23 Contactor</t>
  </si>
  <si>
    <t>Overload Relay, Electronic, IEC, E300, E200, Sensing Module, Current, 20 200 Amp, Mounts to 100 E116 100 E146 Contactor</t>
  </si>
  <si>
    <t>Overload Relay, Electronic, IEC, E300, E200, Sensing Module, Current, 0.5 30 Amp, Mounts to 100 C09 100 C23 Contactor, ****Includes 193 EIO CM C23****</t>
  </si>
  <si>
    <t>E300 Overload Relays (193/592 IEC/NEMA), 3 In / 1 Out Analog Expansion Module</t>
  </si>
  <si>
    <t>24V DC Expansion Power Supply</t>
  </si>
  <si>
    <t>Industrial Relay R C Surge Suppressor,12 120V AC,50 Hz/60 Hz,Used with 700 P H CF M Relay Coils</t>
  </si>
  <si>
    <t>Communication Adapter,DPI To EtherNet,IP,Single Or Multi,Drive Modes,10 OR 100 mbps Full,Half Duplex Operation,Use With PowerFlex 70,700,700H,700S,700L,750 Series and PowerFlex DC.PowerFlex 750 Series Requires 20 750 20 or 20 750 20 F1 Communications Carr</t>
  </si>
  <si>
    <t>HIM Enhanced Features Full Numeric Keypad LCD Display Drive Cover Mounted Or Handheld Use With Powerflex 70 700 700H 700S 700L 750 753 755 7000 Powerflex DC SMC II Flex SMC 50</t>
  </si>
  <si>
    <t>HIM Full Numeric Keypad,LCD Display,IP66,UL Type 4X NEMA Type 12 Indoor Use Only,Enhanced Features,Includes 1202 C30 3 m Cable Drive Cover Mounted Use With Powerflex 70 700 700H 700S 700L 750 753 755 7000 Powerflex DC SMC Flex SMC 50</t>
  </si>
  <si>
    <t>PowerFlex DC Drive, 460 VAC, 3 PH, 495 Amps, 300 HP/224 kW, Regen, IP20, NEMA/UL Type Open, No HIM (Blank Plate), User Manual, No Communication Module, C Frame</t>
  </si>
  <si>
    <t>Graphic Terminal,Performance Model,Extended Features,19.0 in.,TFT Color,Standard Aspect Ratio,Touch screen,Device Level Ring Ethernet,18 30 V DC</t>
  </si>
  <si>
    <t>700-HK General Purpose Slim Line Relay, SPDT, 24V DC, Push-To-Test &amp; Manual Override function and Pilot Light</t>
  </si>
  <si>
    <t>700-H General Purpose Accessories, Screw Terminal Socket - Panel or DIN Rail Mounting 5-blade miniature socket with 16 A rating for use with 1-pole, Touch Safe Terminal Construction </t>
  </si>
  <si>
    <t>800F PB,22mm Momentary Push Button,Flush Push Button,Blank,No Power Module (Lamp Type),Red,No Power Module,Metal,No Power Module (Voltage),No Screw,None (Monolithic Circuit),Standard Pack</t>
  </si>
  <si>
    <t>800F PB,22mm Momentary Push Button,Flush Push Button,Blank,No Power Module (Lamp Type),Blue,No Power Module,Metal,No Power Module (Voltage),No Screw,None (Monolithic Circuit),Standard Pack</t>
  </si>
  <si>
    <t>800F PB,22mm Momentary Push Button,Illuminated Flush,Green,Metal,Standard Pack</t>
  </si>
  <si>
    <t>800F PB,22mm Momentary Push Button,Illuminated Flush,Clear,Metal,Standard Pack</t>
  </si>
  <si>
    <t>800F PB,22mm Push Pull Operator,40 mm Illuminated Push Pull,Red,Metal,No Screw,None (Monolithic Circuit)</t>
  </si>
  <si>
    <t>800F PB,22mm Back of Panel Composite,LED,Standard,Screw Contact Block,No Operator,1 N.O.,No Selector Switch Function,Green,No Applicable Function,24V AC/DC,Metal Latch</t>
  </si>
  <si>
    <t>800F PB,22mm Back of Panel Composite,LED,Standard,Screw Contact Block,No Operator,1 N.O./2 N.C.,No Selector Switch Function,Red,No Applicable Function,24V AC/DC,Metal Latch</t>
  </si>
  <si>
    <t>800F PB,22mm Back of Panel Composite,LED,Standard,Screw Contact Block,No Operator,1 N.O.,No Selector Switch Function,White,No Applicable Function,24V AC/DC,Metal Latch</t>
  </si>
  <si>
    <t>800F PB,22mm Back of Panel Composite,Standard,Screw Contact Block,No Operator,No Power Module,1 N.O.,No Selector Switch Function,No Power Module (Lamp Type),No Applicable Function,No Power Module (Voltage),Metal Latch</t>
  </si>
  <si>
    <t>Electrical Interlock 24 VDC</t>
  </si>
  <si>
    <t>Defeater, Electrical Interlock</t>
  </si>
  <si>
    <t>Cabinet Lights</t>
  </si>
  <si>
    <t>1DR Enc. Left Bay - Right Side Open</t>
  </si>
  <si>
    <t>1DR Enc. Right Bay - w/ Disc. - Left side Open</t>
  </si>
  <si>
    <t>2DR Enc. Center Bay - Both Side Open</t>
  </si>
  <si>
    <t>Barrier Plate</t>
  </si>
  <si>
    <t>Subpanel, Bent, Left and Right</t>
  </si>
  <si>
    <t>Subpanel, Bent, Center</t>
  </si>
  <si>
    <t>Coverplate, Blank Disconnect</t>
  </si>
  <si>
    <t>Mill Cabinet</t>
  </si>
  <si>
    <t>Mill Cabinet Back Panel</t>
  </si>
  <si>
    <t>HYDRAULIC UNIT CABINET</t>
  </si>
  <si>
    <t>HYDRAULIC UNIT BACK PANEL</t>
  </si>
  <si>
    <t>OS CABINET</t>
  </si>
  <si>
    <t>OS CABINET BACK PANEL</t>
  </si>
  <si>
    <t>250 MCM, Type MTW/UL1284 Wire, 2451 Strand</t>
  </si>
  <si>
    <t>3/0 Type MTW/UL1284 Wire, 1672 Strand</t>
  </si>
  <si>
    <t>600 MCM THHN/THWN-2 Building Wire</t>
  </si>
  <si>
    <t>Copper Busbars</t>
  </si>
  <si>
    <t>(8074906) 0…10bar Analog/Digital Regulator Mounted Pressure Sensor, M12 4P Connection.</t>
  </si>
  <si>
    <t>DC Motor: 300HP, 500VDC Armature, 300/150VDC field voltage, 850/1750rpm, 5010AY Frame, Dripproof, Fully Guarded, Blower Ventilated
Blower Motor (230/460VAC 60Hz 3P)
Thermostat (1 N.C. Contact) Mounted on commuating coil
AVTRON AV850 TACH, 1024 ppr single output</t>
  </si>
  <si>
    <t>E21015</t>
  </si>
  <si>
    <t>REFLECTION TAPE TS-02/1M                                                                                                       For the reliable operation of retro-reflective sensors
Easy to mount by means of gluing
Suitable for red light and infrared light</t>
  </si>
  <si>
    <t>Reflective Tape for Right / Left Apron</t>
  </si>
  <si>
    <t>Sensor/actuator cable, 5-position, PVC, yellow, free cable end, on Socket straight M12, coding: A, cable length: 20 m</t>
  </si>
  <si>
    <t>LUMBERG AUTOMATION</t>
  </si>
  <si>
    <t>RKU 19-242/20M</t>
  </si>
  <si>
    <t>M23 19 pin  20M Sensor Cables / Actuator Cables</t>
  </si>
  <si>
    <t>Fortress Interlock Cable</t>
  </si>
  <si>
    <t>RKU 19-242/35M</t>
  </si>
  <si>
    <t>M23 19 pin 35M Sensor Cables / Actuator Cables</t>
  </si>
  <si>
    <t>TOTAL</t>
  </si>
  <si>
    <t>300gal HYDRAULIC TANK, w/ G1615 series 10" sight gauge, 5275 Riser with 5201 Filter Breather Cap (40um), 3/4" NPT drain plug. (72"L x 38.5"H x 36"W). With Aluminum sight gage.</t>
  </si>
  <si>
    <t>ISO 4401 (SIZE 10 MANIFOLD) 160lpm (42gpm)</t>
  </si>
  <si>
    <t>W22 NEMA Premium Efficiency 100 HP 4P 404/5TC 3Ph 230/460//380 V 60//50 Hz IC411 - TEFC - Foot-mounted, 113A F.L.A.</t>
  </si>
  <si>
    <t>W22 NEMA Premium Efficiency 7.5 HP 4P 213/5TC 3Ph 230/460//380 V 60//50 Hz IC411 - TEFC - Foot-mounted, 8.9 F.L.A.</t>
  </si>
  <si>
    <t>70in heat exchanger, up to 85HP heat rejection (216,000 BTU/Hr max) #32 SAE ports, 60psi bypass, 300psi/150gpm max, 208-230/460V 3PH motors fan motors, 7500CFM</t>
  </si>
  <si>
    <t>Axial piston variable displacement pump, 63cm3/rev (30gpm @ 1800rpm), clockwise rotation, standard variation, SAE ISO 3019/1 4-hole flange SAE D (cylindric shaft w/ key), UNF/SAE Ports, no adapter for second pump, no coupling, NBR/FKM seals. Standard pressure control with 24vdc unloading valve (D1VW002KNJW).</t>
  </si>
  <si>
    <t>SAE C 2 bolt flange (SAE J744), 113.4cm3/rev (53gpm @ 1765rpm),  keyed (SAE C) Ø 31,7, clockwise rotation, standard porting (the first 00, change to 01 for both ports on top), buna seals, 4-bolt SAE flange J518 (UNC thread)</t>
  </si>
  <si>
    <t>NEMA 404/405TC frame motor to SAE D pump flange, steel welded horizontal mount</t>
  </si>
  <si>
    <t>NEMA 213/215TC frame motor to SAE C (2-bolt) pump flange, aluminum horizontal mount</t>
  </si>
  <si>
    <t>700 series, 1-3/4" shaft x 7/16" key coupling</t>
  </si>
  <si>
    <t>700 series neoprene coupling insert (11,639.8 lb-in, 335.2HP @1800rpm, 2-7/8" max bore, -30°F…250°F). 80 Durometer.</t>
  </si>
  <si>
    <t>700 series, 2-7/8" shaft x 3/4" key coupling</t>
  </si>
  <si>
    <t>200 series , 1-1/4" shaft x 5/16" key coupling</t>
  </si>
  <si>
    <t>200 series neoprene coupling insert (398.3 lb-in, 11.5HP @1800rpm, 1-3/8" max bore, -30°F…250°F)</t>
  </si>
  <si>
    <t>200 series , 1-3/8" shaft x 5/16" key coupling</t>
  </si>
  <si>
    <t>NEMA 405TC frame motor mount damping bars, 17" (WELD ON)</t>
  </si>
  <si>
    <t>NEMA 215TC frame motor mount damping bars, 9" (WELD ON)</t>
  </si>
  <si>
    <t>100gpm, 50…200psi adjustment range, T-16A cavity, direct acting relief valve WITH inline manifold block, (x2) SAE 20 ports and (x1) 90° 1/4" NPTF gauge port.</t>
  </si>
  <si>
    <t>50gpm, 1000…6000psi adjustment range, T-3A cavity, direct acting relief valve WITH inline manifold block with gauge port, (x2) 16 SAE ports and (x1) 90° 1/4" NPTF gauge port.</t>
  </si>
  <si>
    <t>50gpm, 1000…6000psi adjustment range, T-3A cavity, direct acting relief valve</t>
  </si>
  <si>
    <t>2-way bi-directional poppet solenoid valves, C16-2 cavity, block flow both directions, low leakage, normally closed, 350 bar (5000 psi), 285 lpm (75 gpm). (COIL NOT INCLUDED, use  1/2" Super Coil High Watt (CCP))</t>
  </si>
  <si>
    <t>1/2" ID Super Coil, 24VDC, standard wattage (14W/0.58A/41.74ohms), for DIN 43650 connector.</t>
  </si>
  <si>
    <t>Colorflow in-line general purpose needle valve, N series, fine metering, 1/4" NPT, 5000psi, 5gpm max, standard knob, steel w/ nitrile seals.</t>
  </si>
  <si>
    <t>(026-70134-0) C5V Direct Operated Check Valve, 1-1/2" C62 Flange (sealing for A port; flow from A to B), 0.7psi (5bar) cracking pressure, NBR seals, 750lpm, 420bar</t>
  </si>
  <si>
    <t>HPK04 - 6000psi (17000psi burst pressure), 120gpm, 1-1/2" SAE 4 bolt Code 62 flange ports, with 90psi bypass and reverse flow check valve. With left visual indicator and right blanking plate.</t>
  </si>
  <si>
    <t>HPK04 - 6000psi (17000psi burst pressure), 120gpm, 16" filter housing.</t>
  </si>
  <si>
    <t>DT-9600-16-2UM - 16.84" Filter, &lt;4µm DT synthetic filter media (β=1000, ISO 16889)</t>
  </si>
  <si>
    <t>HPK04 - 3000psi, 120gpm, 1-1/2" SAE 4 bolt Code 61 flange ports w/ SAE-20 O-ring, with 60psi bypass. With left visual indicator and right blanking plate.</t>
  </si>
  <si>
    <t>HPK04 - 3000psi, 120gpm, 13" filter housing.</t>
  </si>
  <si>
    <t>DT-9600-13-5UM - 12.91" Filter, 5µm DT synthetic filter media (β=1000, ISO 16889)</t>
  </si>
  <si>
    <t>90psi bypass valve, 70psi visual indicator with thermal lockout and surge control, hirschmann receptacle, 115VAC, 28VDC, 2amps, 4pin DIN 43650.</t>
  </si>
  <si>
    <t>(2076264) Accumulator safety block, solenoid or manual discharge, normally open, 0.8A 24VDC coil, 1-1/2" C62 flanges, with locking device.</t>
  </si>
  <si>
    <t>(2055256) SAE 1-1/2" C62, 5GAL accumulator</t>
  </si>
  <si>
    <t>(362712) Heavy duty accumulator mounting clamp</t>
  </si>
  <si>
    <t>(4580439) Accumulator base bracket, 260mm wide, ruber support ring.</t>
  </si>
  <si>
    <t>(2072432) ACCUMULATOR CHARGING KIT, G4.1 / USA (CGA 680 w/400 bar Gage)</t>
  </si>
  <si>
    <t>(850917) 1-1/2" SAE (-24) O-Ring Boss ports, 420 bar (6090psi), zinc plated, steel body and ball, NBR seals, POM sealing cups, steel cranked bolt-on handle.
I-1.300 = Prox Sensor Mounting Bracket only
SO760 = lockable (padlock not included)</t>
  </si>
  <si>
    <t>2-1/2" 304 Stainless Steel Case, Copper Alloy Internals, 0...5,000 psi/bar, 1/4" National Pipe Thread (NPT) Male Bottom Connection Pressure Gauge with Glycerin Filled</t>
  </si>
  <si>
    <t>Inductive proximity sensor, flush mount, 4mm sensing range (0.157"), M12x1 x 60mm long, 1 N.C. PNP switching output, 10…30VDC. Comes with locknuts.</t>
  </si>
  <si>
    <t>32Bx16Rx8S (5000PSI minimum, 4500-4650PSI operating pressure) Hydraulic Cylinders</t>
  </si>
  <si>
    <t>CUSTOM CYLINDER MANIFOLDS</t>
  </si>
  <si>
    <t>AW32 HYDRAULIC OIL</t>
  </si>
  <si>
    <t>Shutoff valve with muffler exhaust, 0.3…7BAR (4.5...100PSI) regulation range, 52.9CFM, 5µm filter, auto draining, analog pressure sensor with M12 connector and digital display, 3/8" NPT port plates, w/ mounting bracket. Lockable w/ accessories.</t>
  </si>
  <si>
    <t>1/4" Male quick disconnect to 3/8" Male NPTF pneumatic hose coupling</t>
  </si>
  <si>
    <t>Manifold, 3 Stations, for G1/4 size 18mm VUVG valves, 3/8" BSPP main pressure / exhaust ports</t>
  </si>
  <si>
    <t>Pneumatic Muffler, 3/8" BSPP, 0…10bar, 5430 l/min, Bronze, 82dB(A) Noise Level</t>
  </si>
  <si>
    <t>3/8" BSPP Plugs</t>
  </si>
  <si>
    <t>Valve manifold seal kit w/ mounting bolts, for G1/4 size 18mm VUVG valves</t>
  </si>
  <si>
    <t>Valve manifold cover plate, w/ screws and seal, for G1/4 size 18mm VUVG valves</t>
  </si>
  <si>
    <t>3/8" Male BSPP to 3/8" Female NPT Adapter</t>
  </si>
  <si>
    <t>3/8" Male NPT to 3/8" Push to connect fitting, external hex, straight</t>
  </si>
  <si>
    <t>5/3 Air Solenoid Valve, Center exhausted, G1/4 (1/4" BSPP) ports, size 18mm VUVG valve, 1200l/min, 3…8bar, Mechanical spring return, Solenoid operated (with internal pilot), 24VDC, 1W, 3pin M8 coils, with manual overrides.</t>
  </si>
  <si>
    <t>1/4" Male BSPP to 1/4" Female NPT Adapter</t>
  </si>
  <si>
    <t>1/4" Male NPT to 1/4" push to connect fitting, external hex, straight</t>
  </si>
  <si>
    <t>1/8" Male BSPP TO 1/8" Female NPT Adapter</t>
  </si>
  <si>
    <t>One way flow control valve, 1/8" Male NPT to 1/4" Push to connect, 90°, external hex</t>
  </si>
  <si>
    <t>Double acting cylinder, 50mm Bore, 8mm OD Rod, 20mm Stroke. M12x1.25 Male threaded rod end, 1178N @ 6bar, with elastic cushioning rings/pads at both ends, 1/8" BSPP ports, 0.4…10bar</t>
  </si>
  <si>
    <t>1/4" Male NPT to 3/8" Push to connect fitting, external hex, straight, adapter</t>
  </si>
  <si>
    <t>Pressure regulator, size 4, with 3/8" Female NPT connecting plates, 0.3…7bar manually adjustable pressure range, without lockability. With AD11 option SPAU LCD digital gauge / sensor, 4-pin M12 connector usable w/ IO-Link, configurable as PNP/NPN and 0...10V/1...5V/4...20mA. With mounting bracket (regulator knob nut mounting).</t>
  </si>
  <si>
    <t>One way flow control valve, 3/8" NPT to 3/8" Push to connect, 90°, external hex</t>
  </si>
  <si>
    <t>Double acting cylinder, 2-1/2" Bore x 1-1/4" Rod x 4" Stroke, 7/16-20 Male threaded rod end, 386.4lbs &amp; 80psi, with adjustable pneumatic cushioning at both ends, 3/8" BSPP ports, 0.48...9.65bar. With MF2 mounting flange plate.</t>
  </si>
  <si>
    <t>T-slot cylinder reed switch. Normally Open, PNP/NPN, 5…60VDC or 5…50VAC, 4 pin male M12 connector. With LED indicator.</t>
  </si>
  <si>
    <t>3/8" Push to connect fitting, Tee</t>
  </si>
  <si>
    <t>Company</t>
  </si>
  <si>
    <t>C:\(Project)\(Folder)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</si>
</sst>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hh:mm"/>
  </numFmts>
  <fonts count="8"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8"/>
      <name val="Aptos Narrow"/>
      <family val="2"/>
      <scheme val="minor"/>
    </font>
    <font>
      <sz val="11"/>
      <color rgb="FF000000"/>
      <name val="Aptos Narrow"/>
      <family val="2"/>
    </font>
    <font>
      <b/>
      <sz val="10"/>
      <color theme="1"/>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E6E6E6"/>
        <bgColor indexed="64"/>
      </patternFill>
    </fill>
    <fill>
      <patternFill patternType="solid">
        <fgColor rgb="FFFFC000"/>
        <bgColor indexed="64"/>
      </patternFill>
    </fill>
  </fills>
  <borders count="1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62">
    <xf numFmtId="0" fontId="0" fillId="0" borderId="0" xfId="0"/>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vertical="center"/>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wrapText="1"/>
    </xf>
    <xf numFmtId="0" fontId="0" fillId="0" borderId="12" xfId="0" applyBorder="1" applyAlignment="1">
      <alignment horizontal="center" vertical="center" wrapText="1"/>
    </xf>
    <xf numFmtId="1" fontId="0" fillId="0" borderId="9" xfId="0" applyNumberFormat="1" applyBorder="1" applyAlignment="1">
      <alignment horizontal="center" vertical="center" wrapText="1"/>
    </xf>
    <xf numFmtId="1" fontId="0" fillId="0" borderId="0" xfId="0" applyNumberFormat="1" applyAlignment="1">
      <alignment horizontal="center" vertical="center" wrapText="1"/>
    </xf>
    <xf numFmtId="1" fontId="0" fillId="0" borderId="6" xfId="0" applyNumberFormat="1" applyBorder="1" applyAlignment="1">
      <alignment horizontal="center" vertical="center" wrapText="1"/>
    </xf>
    <xf numFmtId="0" fontId="0" fillId="0" borderId="11" xfId="0" applyBorder="1" applyAlignment="1">
      <alignment horizontal="center" vertical="center" wrapText="1"/>
    </xf>
    <xf numFmtId="0" fontId="2" fillId="0" borderId="4" xfId="0" applyFont="1" applyBorder="1" applyAlignment="1">
      <alignment horizontal="center" vertical="center" wrapText="1"/>
    </xf>
    <xf numFmtId="0" fontId="2" fillId="0" borderId="9" xfId="0" applyFont="1" applyBorder="1" applyAlignment="1">
      <alignment horizontal="center" vertical="center" wrapText="1"/>
    </xf>
    <xf numFmtId="0" fontId="0" fillId="0" borderId="10" xfId="0" applyBorder="1" applyAlignment="1">
      <alignment horizontal="center" vertical="center" wrapText="1"/>
    </xf>
    <xf numFmtId="0" fontId="2" fillId="0" borderId="6" xfId="0" applyFont="1" applyBorder="1" applyAlignment="1">
      <alignment horizontal="center" vertical="center" wrapText="1"/>
    </xf>
    <xf numFmtId="0" fontId="0" fillId="0" borderId="7" xfId="0"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0" fillId="0" borderId="0" xfId="0" applyAlignment="1" applyProtection="1">
      <alignment horizontal="center" vertical="center" wrapText="1"/>
      <protection locked="0"/>
    </xf>
    <xf numFmtId="0" fontId="1" fillId="2" borderId="12" xfId="0" applyFont="1" applyFill="1" applyBorder="1" applyAlignment="1">
      <alignment horizontal="center" vertical="center" wrapText="1"/>
    </xf>
    <xf numFmtId="0" fontId="0" fillId="0" borderId="0" xfId="0" applyAlignment="1">
      <alignment horizontal="left" vertical="center"/>
    </xf>
    <xf numFmtId="0" fontId="0" fillId="0" borderId="15" xfId="0" applyBorder="1" applyAlignment="1">
      <alignment horizontal="center" vertical="center" wrapText="1"/>
    </xf>
    <xf numFmtId="49" fontId="4" fillId="0" borderId="0" xfId="0" applyNumberFormat="1" applyFont="1" applyAlignment="1" applyProtection="1">
      <alignment horizontal="center" vertical="center" wrapText="1"/>
      <protection locked="0"/>
    </xf>
    <xf numFmtId="0" fontId="4" fillId="0" borderId="0" xfId="0" applyFont="1" applyAlignment="1" applyProtection="1">
      <alignment vertical="center" wrapText="1"/>
      <protection locked="0"/>
    </xf>
    <xf numFmtId="49" fontId="4" fillId="0" borderId="16" xfId="0" applyNumberFormat="1" applyFont="1" applyBorder="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0" fontId="1" fillId="2" borderId="17" xfId="0" applyFont="1" applyFill="1" applyBorder="1" applyAlignment="1">
      <alignment vertical="center" wrapText="1"/>
    </xf>
    <xf numFmtId="0" fontId="3" fillId="0" borderId="0" xfId="0" applyFont="1" applyAlignment="1">
      <alignment horizontal="center" vertical="center" wrapText="1"/>
    </xf>
    <xf numFmtId="0" fontId="1" fillId="0" borderId="0" xfId="0" applyFont="1" applyAlignment="1">
      <alignment horizontal="right" vertical="center" wrapText="1"/>
    </xf>
    <xf numFmtId="0" fontId="2" fillId="0" borderId="0" xfId="0" applyFont="1" applyAlignment="1">
      <alignment horizontal="center" vertical="center" wrapText="1"/>
    </xf>
    <xf numFmtId="0" fontId="1" fillId="2" borderId="12" xfId="0" applyFont="1" applyFill="1" applyBorder="1" applyAlignment="1">
      <alignment horizontal="right" vertical="center" wrapText="1"/>
    </xf>
    <xf numFmtId="0" fontId="1" fillId="2" borderId="13" xfId="0" applyFont="1" applyFill="1" applyBorder="1" applyAlignment="1">
      <alignment horizontal="right" vertical="center" wrapText="1"/>
    </xf>
    <xf numFmtId="0" fontId="1" fillId="2" borderId="14" xfId="0" applyFont="1" applyFill="1" applyBorder="1" applyAlignment="1">
      <alignment horizontal="right"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 fillId="0" borderId="0" xfId="0" applyFont="1" applyAlignment="1">
      <alignment vertical="center" wrapText="1"/>
    </xf>
    <xf numFmtId="0" fontId="2" fillId="0" borderId="13" xfId="0" applyFont="1" applyBorder="1" applyAlignment="1">
      <alignment horizontal="center" vertical="center" wrapText="1"/>
    </xf>
    <xf numFmtId="49" fontId="2" fillId="0" borderId="0" xfId="0" applyNumberFormat="1" applyFont="1" applyAlignment="1">
      <alignment vertical="center" wrapText="1"/>
    </xf>
    <xf numFmtId="1" fontId="2" fillId="0" borderId="13" xfId="0" applyNumberFormat="1" applyFont="1" applyBorder="1" applyAlignment="1">
      <alignment horizontal="center" vertical="center" wrapText="1"/>
    </xf>
    <xf numFmtId="1" fontId="2" fillId="0" borderId="14" xfId="0" applyNumberFormat="1" applyFont="1" applyBorder="1" applyAlignment="1">
      <alignment horizontal="center" vertical="center" wrapText="1"/>
    </xf>
    <xf numFmtId="14" fontId="2" fillId="0" borderId="0" xfId="0" applyNumberFormat="1" applyFont="1" applyAlignment="1">
      <alignment vertical="center" wrapText="1"/>
    </xf>
    <xf numFmtId="2" fontId="0" fillId="0" borderId="0" xfId="0" applyNumberFormat="1" applyAlignment="1" applyProtection="1">
      <alignment horizontal="center" vertical="center" wrapText="1"/>
      <protection locked="0"/>
    </xf>
    <xf numFmtId="0" fontId="0" fillId="0" borderId="0" xfId="0" applyAlignment="1" applyProtection="1">
      <alignment horizontal="left" vertical="center" wrapText="1"/>
      <protection locked="0"/>
    </xf>
    <xf numFmtId="0" fontId="1" fillId="0" borderId="0" xfId="0" applyFont="1" applyAlignment="1">
      <alignment vertical="center"/>
    </xf>
    <xf numFmtId="49" fontId="2" fillId="0" borderId="0" xfId="0" applyNumberFormat="1" applyFont="1" applyAlignment="1">
      <alignment vertical="center"/>
    </xf>
    <xf numFmtId="14" fontId="2" fillId="0" borderId="0" xfId="0" applyNumberFormat="1" applyFont="1" applyAlignment="1">
      <alignment vertical="center"/>
    </xf>
    <xf numFmtId="49" fontId="2" fillId="0" borderId="12" xfId="0" applyNumberFormat="1" applyFont="1" applyBorder="1" applyAlignment="1">
      <alignment horizontal="left" vertical="center"/>
    </xf>
    <xf numFmtId="49" fontId="2" fillId="0" borderId="13" xfId="0" applyNumberFormat="1" applyFont="1" applyBorder="1" applyAlignment="1">
      <alignment horizontal="left" vertical="center"/>
    </xf>
    <xf numFmtId="14" fontId="2" fillId="0" borderId="14" xfId="0" applyNumberFormat="1" applyFont="1" applyBorder="1" applyAlignment="1">
      <alignment horizontal="left" vertical="center"/>
    </xf>
    <xf numFmtId="0" fontId="4" fillId="0" borderId="9" xfId="0" applyFont="1" applyBorder="1" applyAlignment="1" applyProtection="1">
      <alignment horizontal="center" vertical="center" wrapText="1"/>
      <protection locked="0"/>
    </xf>
    <xf numFmtId="49" fontId="4" fillId="0" borderId="10" xfId="0" applyNumberFormat="1" applyFont="1" applyBorder="1" applyAlignment="1" applyProtection="1">
      <alignment horizontal="center" vertical="center" wrapText="1"/>
      <protection locked="0"/>
    </xf>
    <xf numFmtId="0" fontId="4" fillId="0" borderId="6" xfId="0" applyFont="1"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9" xfId="0" applyBorder="1" applyAlignment="1">
      <alignment horizontal="center" vertical="center" wrapText="1"/>
    </xf>
    <xf numFmtId="0" fontId="4" fillId="0" borderId="10" xfId="0" applyFont="1" applyBorder="1" applyAlignment="1" applyProtection="1">
      <alignment vertical="center" wrapText="1"/>
      <protection locked="0"/>
    </xf>
    <xf numFmtId="0" fontId="0" fillId="4" borderId="0" xfId="0" applyFill="1" applyAlignment="1" applyProtection="1">
      <alignment horizontal="left" vertical="center" wrapText="1"/>
      <protection locked="0"/>
    </xf>
    <xf numFmtId="14" fontId="0" fillId="0" borderId="0" xfId="0" applyNumberFormat="1" applyAlignment="1">
      <alignment horizontal="center" vertical="center" wrapText="1"/>
    </xf>
    <xf numFmtId="0" fontId="0" fillId="0" borderId="11" xfId="0" applyBorder="1" applyAlignment="1" applyProtection="1">
      <alignment horizontal="left" vertical="center" wrapText="1"/>
      <protection locked="0"/>
    </xf>
    <xf numFmtId="0" fontId="4" fillId="0" borderId="7" xfId="0" applyFont="1" applyBorder="1" applyAlignment="1" applyProtection="1">
      <alignment vertical="center" wrapText="1"/>
      <protection locked="0"/>
    </xf>
    <xf numFmtId="49" fontId="7" fillId="0" borderId="0" xfId="0" applyNumberFormat="1" applyFont="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2" borderId="17" xfId="0" applyFill="1" applyBorder="1" applyAlignment="1">
      <alignment wrapText="1"/>
    </xf>
    <xf numFmtId="49" fontId="7" fillId="0" borderId="11" xfId="0" applyNumberFormat="1" applyFont="1" applyBorder="1" applyAlignment="1" applyProtection="1">
      <alignment horizontal="center" vertical="center" wrapText="1"/>
      <protection locked="0"/>
    </xf>
    <xf numFmtId="0" fontId="0" fillId="2" borderId="0" xfId="0" applyFill="1" applyAlignment="1">
      <alignment horizontal="center" vertical="center" wrapText="1"/>
    </xf>
    <xf numFmtId="4" fontId="0" fillId="0" borderId="0" xfId="0" applyNumberForma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4" fontId="0" fillId="4" borderId="0" xfId="0" applyNumberFormat="1" applyFill="1" applyAlignment="1" applyProtection="1">
      <alignment horizontal="center" vertical="center" wrapText="1"/>
      <protection locked="0"/>
    </xf>
    <xf numFmtId="0" fontId="0" fillId="4" borderId="0" xfId="0" applyFill="1" applyAlignment="1" applyProtection="1">
      <alignment horizontal="center" vertical="center" wrapText="1"/>
      <protection locked="0"/>
    </xf>
    <xf numFmtId="0" fontId="0" fillId="0" borderId="0" xfId="0" applyAlignment="1">
      <alignment horizontal="left" vertical="center" wrapText="1"/>
    </xf>
    <xf numFmtId="4" fontId="0" fillId="0" borderId="0" xfId="0" applyNumberFormat="1" applyAlignment="1" applyProtection="1">
      <alignment horizontal="left" vertical="center" wrapText="1"/>
      <protection locked="0"/>
    </xf>
    <xf numFmtId="0" fontId="0" fillId="0" borderId="0" xfId="0" applyAlignment="1" applyProtection="1">
      <alignment horizontal="left" vertical="center"/>
      <protection locked="0"/>
    </xf>
    <xf numFmtId="0" fontId="0" fillId="0" borderId="0" xfId="0" applyAlignment="1">
      <alignment horizontal="left" vertical="center" wrapText="1"/>
    </xf>
    <xf numFmtId="0" fontId="1" fillId="2" borderId="9" xfId="0" applyFont="1" applyFill="1" applyBorder="1" applyAlignment="1">
      <alignment horizontal="right" vertical="center" wrapText="1"/>
    </xf>
    <xf numFmtId="0" fontId="1" fillId="2" borderId="10" xfId="0" applyFont="1" applyFill="1" applyBorder="1" applyAlignment="1">
      <alignment horizontal="right" vertical="center" wrapText="1"/>
    </xf>
    <xf numFmtId="0" fontId="1" fillId="2" borderId="6" xfId="0" applyFont="1" applyFill="1" applyBorder="1" applyAlignment="1">
      <alignment horizontal="right" vertical="center" wrapText="1"/>
    </xf>
    <xf numFmtId="0" fontId="1" fillId="2" borderId="11" xfId="0" applyFont="1" applyFill="1" applyBorder="1" applyAlignment="1">
      <alignment horizontal="right" vertical="center" wrapText="1"/>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0" xfId="0" applyFont="1" applyFill="1" applyAlignment="1">
      <alignment horizontal="right" vertical="center" wrapText="1"/>
    </xf>
    <xf numFmtId="49" fontId="2" fillId="0" borderId="9" xfId="0" applyNumberFormat="1" applyFont="1" applyBorder="1" applyAlignment="1">
      <alignment horizontal="left" vertical="center" wrapText="1"/>
    </xf>
    <xf numFmtId="49" fontId="2" fillId="0" borderId="10" xfId="0" applyNumberFormat="1" applyFont="1" applyBorder="1" applyAlignment="1">
      <alignment horizontal="left" vertical="center" wrapText="1"/>
    </xf>
    <xf numFmtId="14" fontId="2" fillId="0" borderId="6" xfId="0" applyNumberFormat="1" applyFont="1" applyBorder="1" applyAlignment="1">
      <alignment horizontal="left" vertical="center" wrapText="1"/>
    </xf>
    <xf numFmtId="14" fontId="2" fillId="0" borderId="7" xfId="0" applyNumberFormat="1" applyFont="1" applyBorder="1" applyAlignment="1">
      <alignment horizontal="left" vertical="center" wrapText="1"/>
    </xf>
    <xf numFmtId="49" fontId="2" fillId="0" borderId="4"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49" fontId="2" fillId="0" borderId="0" xfId="0" applyNumberFormat="1" applyFont="1" applyAlignment="1">
      <alignment horizontal="left" vertical="center" wrapText="1"/>
    </xf>
    <xf numFmtId="164" fontId="2" fillId="0" borderId="11" xfId="0" applyNumberFormat="1" applyFont="1" applyBorder="1" applyAlignment="1">
      <alignment horizontal="left" vertical="center" wrapText="1"/>
    </xf>
    <xf numFmtId="164" fontId="2" fillId="0" borderId="7" xfId="0" applyNumberFormat="1" applyFont="1" applyBorder="1" applyAlignment="1">
      <alignment horizontal="left" vertical="center" wrapText="1"/>
    </xf>
    <xf numFmtId="0" fontId="2" fillId="0" borderId="0" xfId="0" applyFont="1" applyAlignment="1">
      <alignment horizontal="center" vertical="center" wrapText="1"/>
    </xf>
    <xf numFmtId="0" fontId="1" fillId="2" borderId="4" xfId="0" applyFont="1" applyFill="1" applyBorder="1" applyAlignment="1">
      <alignment horizontal="right" vertical="center" wrapText="1"/>
    </xf>
    <xf numFmtId="0" fontId="1" fillId="2" borderId="8" xfId="0" applyFont="1" applyFill="1" applyBorder="1" applyAlignment="1">
      <alignment horizontal="right" vertical="center" wrapText="1"/>
    </xf>
    <xf numFmtId="49" fontId="2" fillId="0" borderId="8" xfId="0" applyNumberFormat="1" applyFont="1" applyBorder="1" applyAlignment="1">
      <alignment horizontal="left"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6" xfId="0" applyFont="1" applyFill="1" applyBorder="1" applyAlignment="1">
      <alignment horizontal="right" vertical="center"/>
    </xf>
    <xf numFmtId="0" fontId="1" fillId="2" borderId="11" xfId="0" applyFont="1" applyFill="1" applyBorder="1" applyAlignment="1">
      <alignment horizontal="right" vertical="center"/>
    </xf>
    <xf numFmtId="0" fontId="1" fillId="2" borderId="9" xfId="0" applyFont="1" applyFill="1" applyBorder="1" applyAlignment="1">
      <alignment horizontal="right" vertical="center"/>
    </xf>
    <xf numFmtId="0" fontId="1" fillId="2" borderId="0" xfId="0" applyFont="1" applyFill="1" applyAlignment="1">
      <alignment horizontal="right" vertical="center"/>
    </xf>
    <xf numFmtId="49" fontId="2" fillId="0" borderId="9" xfId="0" applyNumberFormat="1" applyFont="1" applyBorder="1" applyAlignment="1">
      <alignment horizontal="left" vertical="center"/>
    </xf>
    <xf numFmtId="49" fontId="2" fillId="0" borderId="10" xfId="0" applyNumberFormat="1" applyFont="1" applyBorder="1" applyAlignment="1">
      <alignment horizontal="left" vertical="center"/>
    </xf>
    <xf numFmtId="49" fontId="2" fillId="0" borderId="4" xfId="0" applyNumberFormat="1" applyFont="1" applyBorder="1" applyAlignment="1">
      <alignment horizontal="left" vertical="center"/>
    </xf>
    <xf numFmtId="49" fontId="2" fillId="0" borderId="5" xfId="0" applyNumberFormat="1" applyFont="1" applyBorder="1" applyAlignment="1">
      <alignment horizontal="left" vertical="center"/>
    </xf>
    <xf numFmtId="14" fontId="2" fillId="0" borderId="6" xfId="0" applyNumberFormat="1" applyFont="1" applyBorder="1" applyAlignment="1">
      <alignment horizontal="left" vertical="center"/>
    </xf>
    <xf numFmtId="14" fontId="2" fillId="0" borderId="7" xfId="0" applyNumberFormat="1" applyFont="1" applyBorder="1" applyAlignment="1">
      <alignment horizontal="left" vertical="center"/>
    </xf>
    <xf numFmtId="0" fontId="1" fillId="2" borderId="4"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0" xfId="0" applyFont="1" applyFill="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vertical="center" wrapText="1"/>
    </xf>
    <xf numFmtId="4" fontId="0" fillId="0" borderId="0" xfId="0" applyNumberFormat="1" applyFill="1" applyAlignment="1" applyProtection="1">
      <alignment horizontal="center" vertical="center" wrapText="1"/>
      <protection locked="0"/>
    </xf>
    <xf numFmtId="4" fontId="0" fillId="0" borderId="0" xfId="0" applyNumberFormat="1" applyFill="1" applyAlignment="1" applyProtection="1">
      <alignment horizontal="left" vertical="center" wrapText="1"/>
      <protection locked="0"/>
    </xf>
    <xf numFmtId="4" fontId="0" fillId="0" borderId="0" xfId="0" applyNumberFormat="1" applyAlignment="1">
      <alignment horizontal="center" vertical="center" wrapText="1"/>
    </xf>
    <xf numFmtId="4" fontId="0" fillId="0" borderId="10" xfId="0" applyNumberFormat="1" applyBorder="1" applyAlignment="1">
      <alignment horizontal="center" vertical="center" wrapText="1"/>
    </xf>
    <xf numFmtId="4" fontId="0" fillId="0" borderId="11" xfId="0" applyNumberFormat="1" applyBorder="1" applyAlignment="1">
      <alignment horizontal="center" vertical="center" wrapText="1"/>
    </xf>
    <xf numFmtId="4" fontId="0" fillId="0" borderId="7" xfId="0" applyNumberFormat="1" applyBorder="1" applyAlignment="1">
      <alignment horizontal="center" vertical="center" wrapText="1"/>
    </xf>
    <xf numFmtId="4" fontId="0" fillId="0" borderId="13" xfId="0" applyNumberFormat="1" applyBorder="1" applyAlignment="1">
      <alignment horizontal="center" vertical="center" wrapText="1"/>
    </xf>
    <xf numFmtId="4" fontId="0" fillId="0" borderId="14" xfId="0" applyNumberFormat="1" applyBorder="1" applyAlignment="1">
      <alignment horizontal="center" vertical="center" wrapText="1"/>
    </xf>
    <xf numFmtId="1" fontId="4" fillId="0" borderId="0" xfId="0" applyNumberFormat="1" applyFont="1" applyAlignment="1" applyProtection="1">
      <alignment horizontal="center" vertical="center" wrapText="1"/>
    </xf>
    <xf numFmtId="0" fontId="4" fillId="0" borderId="0" xfId="0" applyFont="1" applyAlignment="1" applyProtection="1">
      <alignment horizontal="center" vertical="center" wrapText="1"/>
    </xf>
    <xf numFmtId="49" fontId="4" fillId="0" borderId="0" xfId="0" applyNumberFormat="1" applyFont="1" applyBorder="1" applyAlignment="1" applyProtection="1">
      <alignment horizontal="center" vertical="center" wrapText="1"/>
      <protection locked="0"/>
    </xf>
    <xf numFmtId="0" fontId="4" fillId="0" borderId="9" xfId="0" applyFont="1" applyFill="1" applyBorder="1" applyAlignment="1" applyProtection="1">
      <alignment horizontal="center" vertical="center" wrapText="1"/>
      <protection locked="0"/>
    </xf>
    <xf numFmtId="49" fontId="4" fillId="0" borderId="0" xfId="0" applyNumberFormat="1" applyFont="1" applyFill="1" applyBorder="1" applyAlignment="1" applyProtection="1">
      <alignment horizontal="center" vertical="center" wrapText="1"/>
      <protection locked="0"/>
    </xf>
    <xf numFmtId="49" fontId="4" fillId="0" borderId="16" xfId="0" applyNumberFormat="1" applyFont="1" applyFill="1" applyBorder="1" applyAlignment="1" applyProtection="1">
      <alignment horizontal="center" vertical="center" wrapText="1"/>
      <protection locked="0"/>
    </xf>
    <xf numFmtId="0" fontId="0" fillId="0" borderId="0" xfId="0" applyFill="1" applyAlignment="1" applyProtection="1">
      <alignment horizontal="center" vertical="center" wrapText="1"/>
      <protection locked="0"/>
    </xf>
    <xf numFmtId="0" fontId="4" fillId="0" borderId="0" xfId="0" applyFont="1" applyFill="1" applyAlignment="1" applyProtection="1">
      <alignment vertical="center" wrapText="1"/>
      <protection locked="0"/>
    </xf>
    <xf numFmtId="0" fontId="0" fillId="3" borderId="0" xfId="0" applyFill="1" applyAlignment="1" applyProtection="1">
      <alignment horizontal="center" vertical="center" wrapText="1"/>
    </xf>
    <xf numFmtId="0" fontId="0" fillId="0" borderId="0" xfId="0" applyAlignment="1" applyProtection="1">
      <alignment horizontal="left" vertical="center" wrapText="1"/>
    </xf>
    <xf numFmtId="0" fontId="0" fillId="3" borderId="13" xfId="0" applyFill="1" applyBorder="1" applyAlignment="1" applyProtection="1">
      <alignment horizontal="center" vertical="center" wrapText="1"/>
    </xf>
    <xf numFmtId="1" fontId="4"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0" fillId="3" borderId="14" xfId="0" applyFill="1" applyBorder="1" applyAlignment="1" applyProtection="1">
      <alignment horizontal="center" vertical="center" wrapText="1"/>
    </xf>
    <xf numFmtId="1"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wrapText="1"/>
    </xf>
    <xf numFmtId="0" fontId="0" fillId="0" borderId="0" xfId="0" applyFill="1" applyAlignment="1" applyProtection="1">
      <alignment horizontal="left" vertical="center" wrapText="1"/>
    </xf>
    <xf numFmtId="1" fontId="0" fillId="0" borderId="0" xfId="0" applyNumberFormat="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wrapText="1"/>
    </xf>
    <xf numFmtId="0" fontId="7" fillId="0" borderId="0" xfId="0" applyFont="1" applyAlignment="1" applyProtection="1">
      <alignment horizontal="center" vertical="center" wrapText="1"/>
    </xf>
    <xf numFmtId="0" fontId="7" fillId="4" borderId="0" xfId="0" applyFont="1" applyFill="1" applyAlignment="1" applyProtection="1">
      <alignment horizontal="center" vertical="center" wrapText="1"/>
    </xf>
    <xf numFmtId="0" fontId="0" fillId="0" borderId="9" xfId="0" applyBorder="1" applyAlignment="1" applyProtection="1">
      <alignment horizontal="center" vertical="center" wrapText="1"/>
    </xf>
    <xf numFmtId="0" fontId="0" fillId="0" borderId="6" xfId="0" applyBorder="1" applyAlignment="1" applyProtection="1">
      <alignment horizontal="center" vertical="center" wrapText="1"/>
    </xf>
    <xf numFmtId="0" fontId="0" fillId="0" borderId="11" xfId="0" applyBorder="1" applyAlignment="1" applyProtection="1">
      <alignment horizontal="center" vertical="center" wrapText="1"/>
    </xf>
    <xf numFmtId="0" fontId="0" fillId="3" borderId="12" xfId="0" applyFill="1" applyBorder="1" applyAlignment="1" applyProtection="1">
      <alignment horizontal="center" vertical="center" wrapText="1"/>
    </xf>
    <xf numFmtId="49" fontId="4" fillId="0" borderId="0" xfId="0" applyNumberFormat="1" applyFont="1" applyBorder="1" applyAlignment="1" applyProtection="1">
      <alignment horizontal="left" vertical="center" wrapText="1"/>
    </xf>
    <xf numFmtId="0" fontId="1" fillId="2" borderId="8" xfId="0" applyFont="1" applyFill="1"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0" fontId="4" fillId="0" borderId="6" xfId="0" applyFont="1" applyFill="1" applyBorder="1" applyAlignment="1" applyProtection="1">
      <alignment horizontal="center" vertical="center" wrapText="1"/>
      <protection locked="0"/>
    </xf>
    <xf numFmtId="49" fontId="4" fillId="0" borderId="11" xfId="0" applyNumberFormat="1" applyFont="1" applyFill="1" applyBorder="1" applyAlignment="1" applyProtection="1">
      <alignment horizontal="center" vertical="center" wrapText="1"/>
      <protection locked="0"/>
    </xf>
    <xf numFmtId="49" fontId="4" fillId="0" borderId="7" xfId="0" applyNumberFormat="1" applyFont="1" applyFill="1" applyBorder="1" applyAlignment="1" applyProtection="1">
      <alignment horizontal="center" vertical="center" wrapText="1"/>
      <protection locked="0"/>
    </xf>
    <xf numFmtId="0" fontId="0" fillId="0" borderId="13" xfId="0" applyFill="1" applyBorder="1" applyAlignment="1" applyProtection="1">
      <alignment horizontal="center" vertical="center" wrapText="1"/>
      <protection locked="0"/>
    </xf>
    <xf numFmtId="0" fontId="0" fillId="0" borderId="10"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4" fillId="0" borderId="0" xfId="0" applyFont="1" applyAlignment="1" applyProtection="1">
      <alignment horizontal="left" vertical="center" wrapText="1"/>
    </xf>
    <xf numFmtId="0" fontId="4" fillId="0" borderId="0" xfId="0" applyFont="1" applyAlignment="1" applyProtection="1">
      <alignment horizontal="left" vertical="center" wrapText="1"/>
      <protection locked="0"/>
    </xf>
    <xf numFmtId="0" fontId="4" fillId="0" borderId="0" xfId="0" applyFont="1" applyFill="1" applyAlignment="1" applyProtection="1">
      <alignment horizontal="left" vertical="center" wrapText="1"/>
    </xf>
  </cellXfs>
  <cellStyles count="1">
    <cellStyle name="Normal" xfId="0" builtinId="0"/>
  </cellStyles>
  <dxfs count="123">
    <dxf>
      <alignment horizontal="left"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border diagonalUp="0" diagonalDown="0" outline="0">
        <left/>
        <right style="medium">
          <color indexed="64"/>
        </right>
        <top/>
        <bottom/>
      </border>
      <protection locked="0" hidden="0"/>
    </dxf>
    <dxf>
      <fill>
        <patternFill patternType="none">
          <fgColor indexed="64"/>
          <bgColor indexed="65"/>
        </patternFill>
      </fill>
      <alignment horizontal="center"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border diagonalUp="0" diagonalDown="0" outline="0">
        <left style="medium">
          <color indexed="64"/>
        </left>
        <right/>
        <top/>
        <bottom/>
      </border>
      <protection locked="0" hidden="0"/>
    </dxf>
    <dxf>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0"/>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center" textRotation="0" wrapText="1" indent="0" justifyLastLine="0" shrinkToFit="0" readingOrder="0"/>
      <border diagonalUp="0" diagonalDown="0" outline="0">
        <left/>
        <right style="medium">
          <color indexed="64"/>
        </right>
        <top/>
        <bottom/>
      </border>
      <protection locked="0" hidden="0"/>
    </dxf>
    <dxf>
      <numFmt numFmtId="4" formatCode="#,##0.00"/>
      <alignment horizontal="center" vertical="center" textRotation="0" wrapText="1" indent="0" justifyLastLine="0" shrinkToFit="0" readingOrder="0"/>
      <border outline="0">
        <left style="medium">
          <color indexed="64"/>
        </left>
      </border>
      <protection locked="0" hidden="0"/>
    </dxf>
    <dxf>
      <alignment horizontal="center" vertical="center" textRotation="0" wrapText="1" indent="0" justifyLastLine="0" shrinkToFit="0" readingOrder="0"/>
      <protection locked="1" hidden="0"/>
    </dxf>
    <dxf>
      <font>
        <b/>
        <i val="0"/>
      </font>
      <fill>
        <patternFill>
          <bgColor theme="5" tint="0.59996337778862885"/>
        </patternFill>
      </fill>
    </dxf>
    <dxf>
      <font>
        <b/>
        <i val="0"/>
      </font>
      <fill>
        <patternFill>
          <bgColor theme="4" tint="0.79998168889431442"/>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alignment horizontal="left" vertical="center" textRotation="0" wrapText="1" indent="0" justifyLastLine="0" shrinkToFit="0" readingOrder="0"/>
      <protection locked="0" hidden="0"/>
    </dxf>
    <dxf>
      <numFmt numFmtId="3" formatCode="#,##0"/>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theme="4" tint="0.79998168889431442"/>
          <bgColor auto="1"/>
        </patternFill>
      </fill>
      <alignment horizontal="center" vertical="center" textRotation="0" wrapText="1" indent="0" justifyLastLine="0" shrinkToFit="0" readingOrder="0"/>
      <border diagonalUp="0" diagonalDown="0">
        <left/>
        <right style="medium">
          <color indexed="64"/>
        </right>
        <top/>
        <bottom/>
        <vertical/>
        <horizontal/>
      </border>
    </dxf>
    <dxf>
      <font>
        <sz val="10"/>
      </font>
      <numFmt numFmtId="30" formatCode="@"/>
      <fill>
        <patternFill patternType="none">
          <bgColor auto="1"/>
        </patternFill>
      </fill>
      <alignment horizontal="center" vertical="center" textRotation="0" wrapText="1" indent="0" justifyLastLine="0" shrinkToFit="0" readingOrder="0"/>
    </dxf>
    <dxf>
      <font>
        <sz val="10"/>
      </font>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top/>
        <bottom/>
        <vertical/>
        <horizontal/>
      </border>
    </dxf>
    <dxf>
      <alignment horizontal="center" vertical="center" textRotation="0" wrapText="1" indent="0" justifyLastLine="0" shrinkToFit="0" readingOrder="0"/>
      <border diagonalUp="0" diagonalDown="0">
        <left style="medium">
          <color indexed="64"/>
        </left>
        <right style="medium">
          <color indexed="64"/>
        </right>
        <top/>
        <bottom/>
        <vertical/>
        <horizontal/>
      </border>
    </dxf>
    <dxf>
      <numFmt numFmtId="4" formatCode="#,##0.00"/>
      <alignment horizontal="center" vertical="center" textRotation="0" wrapText="1" indent="0" justifyLastLine="0" shrinkToFit="0" readingOrder="0"/>
      <border diagonalUp="0" diagonalDown="0">
        <left style="medium">
          <color indexed="64"/>
        </left>
        <right style="medium">
          <color indexed="64"/>
        </right>
        <top/>
        <bottom/>
      </border>
    </dxf>
    <dxf>
      <numFmt numFmtId="4" formatCode="#,##0.00"/>
      <alignment horizontal="center" vertical="center" textRotation="0" wrapText="1" indent="0" justifyLastLine="0" shrinkToFit="0" readingOrder="0"/>
      <border diagonalUp="0" diagonalDown="0">
        <left/>
        <right style="medium">
          <color indexed="64"/>
        </right>
        <top/>
        <bottom/>
      </border>
    </dxf>
    <dxf>
      <numFmt numFmtId="4" formatCode="#,##0.00"/>
      <alignment horizontal="center" vertical="center" textRotation="0" wrapText="1" indent="0" justifyLastLine="0" shrinkToFit="0" readingOrder="0"/>
      <border diagonalUp="0" diagonalDown="0">
        <left/>
        <right style="medium">
          <color indexed="64"/>
        </right>
        <top/>
        <bottom/>
      </border>
    </dxf>
    <dxf>
      <numFmt numFmtId="4" formatCode="#,##0.00"/>
      <alignment horizontal="center" vertical="center" textRotation="0" wrapText="1" indent="0" justifyLastLine="0" shrinkToFit="0" readingOrder="0"/>
    </dxf>
    <dxf>
      <numFmt numFmtId="4" formatCode="#,##0.00"/>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4" formatCode="#,##0.00"/>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border diagonalUp="0" diagonalDown="0">
        <left/>
        <right style="medium">
          <color indexed="64"/>
        </right>
        <top/>
        <bottom/>
        <vertical/>
        <horizontal/>
      </border>
    </dxf>
    <dxf>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numFmt numFmtId="1" formatCode="0"/>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ont>
        <b/>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border diagonalUp="0" diagonalDown="0">
        <left/>
        <right style="medium">
          <color indexed="64"/>
        </right>
        <top/>
        <bottom/>
        <vertical/>
        <horizontal/>
      </border>
      <protection locked="0" hidden="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1" hidden="0"/>
    </dxf>
    <dxf>
      <font>
        <b/>
      </font>
      <alignment horizontal="center" vertical="center" textRotation="0" wrapText="1" indent="0" justifyLastLine="0" shrinkToFit="0" readingOrder="0"/>
      <protection locked="1" hidden="0"/>
    </dxf>
    <dxf>
      <alignment horizontal="left"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fill>
        <patternFill patternType="none">
          <fgColor indexed="64"/>
          <bgColor indexed="65"/>
        </patternFill>
      </fill>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numFmt numFmtId="1" formatCode="0"/>
      <alignment horizontal="center" vertical="center" textRotation="0" wrapText="1" indent="0" justifyLastLine="0" shrinkToFit="0" readingOrder="0"/>
      <border diagonalUp="0" diagonalDown="0" outline="0">
        <left style="medium">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right style="medium">
          <color indexed="64"/>
        </right>
        <top/>
        <bottom/>
      </border>
    </dxf>
    <dxf>
      <font>
        <b/>
      </font>
      <alignment horizontal="center" vertical="center" textRotation="0" wrapText="1" indent="0" justifyLastLine="0" shrinkToFit="0" readingOrder="0"/>
      <border diagonalUp="0" diagonalDown="0" outline="0">
        <left style="medium">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numFmt numFmtId="4" formatCode="#,##0.00"/>
      <alignment horizontal="left"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numFmt numFmtId="4"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numFmt numFmtId="4"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border diagonalUp="0" diagonalDown="0">
        <left style="medium">
          <color indexed="64"/>
        </left>
        <right/>
        <top/>
        <bottom/>
        <vertical/>
        <horizontal/>
      </border>
      <protection locked="1"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8</xdr:row>
          <xdr:rowOff>76200</xdr:rowOff>
        </xdr:from>
        <xdr:to>
          <xdr:col>2</xdr:col>
          <xdr:colOff>228600</xdr:colOff>
          <xdr:row>8</xdr:row>
          <xdr:rowOff>638175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Sync Master Equipment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8</xdr:row>
          <xdr:rowOff>104775</xdr:rowOff>
        </xdr:from>
        <xdr:to>
          <xdr:col>11</xdr:col>
          <xdr:colOff>800100</xdr:colOff>
          <xdr:row>8</xdr:row>
          <xdr:rowOff>666750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8</xdr:row>
          <xdr:rowOff>76200</xdr:rowOff>
        </xdr:from>
        <xdr:to>
          <xdr:col>15</xdr:col>
          <xdr:colOff>781050</xdr:colOff>
          <xdr:row>8</xdr:row>
          <xdr:rowOff>657225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Delete Removed Parts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114300</xdr:rowOff>
        </xdr:from>
        <xdr:to>
          <xdr:col>2</xdr:col>
          <xdr:colOff>180975</xdr:colOff>
          <xdr:row>0</xdr:row>
          <xdr:rowOff>647700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Rebuild Power Querry</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69772F9-D950-4243-87F2-88D836E269CE}" autoFormatId="16" applyNumberFormats="0" applyBorderFormats="0" applyFontFormats="0" applyPatternFormats="0" applyAlignmentFormats="0" applyWidthHeightFormats="0">
  <queryTableRefresh nextId="14">
    <queryTableFields count="11">
      <queryTableField id="1" name="BOM Source" tableColumnId="1"/>
      <queryTableField id="2" name="Item" tableColumnId="2"/>
      <queryTableField id="3" name="Phase" tableColumnId="3"/>
      <queryTableField id="4" name="Manufacturer" tableColumnId="4"/>
      <queryTableField id="5" name="Part Number" tableColumnId="5"/>
      <queryTableField id="12" name="Description" tableColumnId="12"/>
      <queryTableField id="6" name="Assy QTY" tableColumnId="6"/>
      <queryTableField id="7" name="QTY" tableColumnId="7"/>
      <queryTableField id="8" name="NEED" tableColumnId="8"/>
      <queryTableField id="9" name="LOC" tableColumnId="9"/>
      <queryTableField id="10" name="LOC Description" tableColumnId="10"/>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78D8CF-D8A5-4C46-9E8C-CFAA335D0518}" name="Master_Equipment" displayName="Master_Equipment" ref="A10:R217" totalsRowShown="0" headerRowDxfId="98" dataDxfId="97">
  <autoFilter ref="A10:R217" xr:uid="{D078D8CF-D8A5-4C46-9E8C-CFAA335D0518}"/>
  <sortState xmlns:xlrd2="http://schemas.microsoft.com/office/spreadsheetml/2017/richdata2" ref="A11:R217">
    <sortCondition ref="A10:A217"/>
  </sortState>
  <tableColumns count="18">
    <tableColumn id="1" xr3:uid="{C0CA29A1-9206-4D88-ADBF-BC603A727855}" name="Master Equipment List Item" dataDxfId="96"/>
    <tableColumn id="9" xr3:uid="{53122AE6-E349-49E4-9835-38B42217A697}" name="Source" dataDxfId="95"/>
    <tableColumn id="17" xr3:uid="{B901C7DC-01A3-44F9-9854-BBAC90FFE4B2}" name="Assy QTY" dataDxfId="94"/>
    <tableColumn id="3" xr3:uid="{EC353BB2-8383-4FD9-8FF3-00858555D4DB}" name="Manufacturer" dataDxfId="93"/>
    <tableColumn id="4" xr3:uid="{ED29B403-0547-4606-9EBC-340BC0F72031}" name="Part Number" dataDxfId="4"/>
    <tableColumn id="18" xr3:uid="{720B1413-E0A2-4C9F-9C4C-DB4DB307DC04}" name="Description" dataDxfId="2"/>
    <tableColumn id="11" xr3:uid="{5A4CE345-A191-449A-B19A-2A67DDE8451C}" name="QTY" dataDxfId="3"/>
    <tableColumn id="10" xr3:uid="{2BF9E82A-56E6-46E9-8905-95C34CD6B70C}" name="Need QTY" dataDxfId="92"/>
    <tableColumn id="5" xr3:uid="{ADE86BE7-4B39-42DC-8137-A637AD0F6443}" name="ELEC Tags" dataDxfId="37"/>
    <tableColumn id="6" xr3:uid="{D0E1A16A-AFCF-4A20-B958-22F25709AFC9}" name="HYD Tags" dataDxfId="36"/>
    <tableColumn id="7" xr3:uid="{E51F9491-1FB9-4D1E-BDB6-A2EE44D9271B}" name="PNU Tags" dataDxfId="35"/>
    <tableColumn id="8" xr3:uid="{EC210B05-43E5-4232-929F-C0F55226149B}" name="Functional Description" dataDxfId="91"/>
    <tableColumn id="2" xr3:uid="{A63279D1-3964-4761-A3D6-A10399F667C3}" name="P&amp;ID Tags" dataDxfId="90"/>
    <tableColumn id="15" xr3:uid="{FD2EF173-2B55-4C11-8C98-156BC8C9C4EC}" name="Include in I/O List?" dataDxfId="89"/>
    <tableColumn id="14" xr3:uid="{61A4541F-D2A9-428E-B0B0-2DD71A7A0C58}" name="Include in Utility Load Table?" dataDxfId="88"/>
    <tableColumn id="13" xr3:uid="{65E738BB-16E3-49F4-B0CA-EB73BC98D32E}" name="Include in Heat Load &amp; Noise Table?" dataDxfId="87"/>
    <tableColumn id="16" xr3:uid="{261543D1-ACA2-4F16-AB94-202FEEBB45E7}" name="Removed from BOM" dataDxfId="38"/>
    <tableColumn id="12" xr3:uid="{9886FC3E-D977-43ED-B8CE-70CCE2680C4F}" name="Notes" dataDxfId="86"/>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F892FA-72EE-411C-A34E-67D51455DE1F}" name="IO_List" displayName="IO_List" ref="A11:I84" totalsRowShown="0" headerRowDxfId="85" dataDxfId="84">
  <autoFilter ref="A11:I84" xr:uid="{FAF892FA-72EE-411C-A34E-67D51455DE1F}"/>
  <sortState xmlns:xlrd2="http://schemas.microsoft.com/office/spreadsheetml/2017/richdata2" ref="A12:I84">
    <sortCondition ref="A11:A84"/>
  </sortState>
  <tableColumns count="9">
    <tableColumn id="1" xr3:uid="{64D641DE-4E87-4CD5-B25F-931D21383D1C}" name="Master Equipment List Item" dataDxfId="83"/>
    <tableColumn id="2" xr3:uid="{BA098CF8-B10F-471B-8F4A-347553FA2801}" name="Manufacturer" dataDxfId="82"/>
    <tableColumn id="13" xr3:uid="{122D15FA-D24C-4FEC-8ECB-79035CE70AE7}" name="Part Number" dataDxfId="81"/>
    <tableColumn id="15" xr3:uid="{DA00595E-271D-40E6-A445-4DEF0E5E0CF0}" name="Functional Description" dataDxfId="80"/>
    <tableColumn id="12" xr3:uid="{7D9A51BF-B3E2-4FC0-9078-727FDC46A20F}" name="ELEC Tag" dataDxfId="79"/>
    <tableColumn id="4" xr3:uid="{5172F16A-BB5E-43AB-B4A4-7AF3300A6018}" name="Controller Location" dataDxfId="78"/>
    <tableColumn id="6" xr3:uid="{54F39AAF-E37C-4757-9E23-1D470A39209C}" name="I/O Controller" dataDxfId="77"/>
    <tableColumn id="7" xr3:uid="{03CF4D7A-D501-4A8A-82FB-7CBA1B3ACE41}" name="I/O Point(s)" dataDxfId="76"/>
    <tableColumn id="8" xr3:uid="{4972AAB2-9F6F-4E2D-BF85-00AEAE867E15}" name="Notes_x000a_(I/O Signal Type, Functional Logic, etc.)" dataDxfId="75"/>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C24E207-8047-49C1-B987-52FE7288CB35}" name="Table8" displayName="Table8" ref="G1:I7" totalsRowShown="0" headerRowDxfId="74" dataDxfId="73">
  <tableColumns count="3">
    <tableColumn id="1" xr3:uid="{505DDDF6-E260-4AA6-9287-21353A3A23E2}" name="Main Controllers" dataDxfId="72"/>
    <tableColumn id="2" xr3:uid="{CBC0E7E5-35E1-4954-B271-C8DB99941E80}" name="Main Tag" dataDxfId="1"/>
    <tableColumn id="3" xr3:uid="{3723B076-C9BE-4CDC-8AED-D1668BBECB10}" name="Controller Description" dataDxfId="0"/>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D553D8-CCF9-46B0-9514-B5EC13F11771}" name="PID_Tag_List" displayName="PID_Tag_List" ref="A10:H143" totalsRowShown="0" headerRowDxfId="71" dataDxfId="70">
  <sortState xmlns:xlrd2="http://schemas.microsoft.com/office/spreadsheetml/2017/richdata2" ref="A11:H143">
    <sortCondition ref="A10:A143"/>
    <sortCondition ref="E10:E143"/>
  </sortState>
  <tableColumns count="8">
    <tableColumn id="1" xr3:uid="{8E879A88-0E4C-48ED-98DF-19C296CFAF31}" name="Master Equipment List Item" dataDxfId="69"/>
    <tableColumn id="3" xr3:uid="{9C139DE7-DEDC-46BD-BB3F-65B5F16ADF81}" name="Manufacturer" dataDxfId="68"/>
    <tableColumn id="4" xr3:uid="{63D2E67D-1203-4D69-8D08-93147628B313}" name="Part Number" dataDxfId="67"/>
    <tableColumn id="2" xr3:uid="{EE5A11DC-9E8D-485F-B683-88EA9C9A42A0}" name="P&amp;ID Tag" dataDxfId="66"/>
    <tableColumn id="10" xr3:uid="{C07F1844-AD83-4143-9026-EA8D6136333A}" name="Instrument / Equipment?" dataDxfId="65"/>
    <tableColumn id="11" xr3:uid="{B971F108-9B23-44B8-B0EE-020CDCDC0C89}" name="Loop / Equipment #" dataDxfId="64"/>
    <tableColumn id="8" xr3:uid="{C2C05F51-D4F3-48EB-9609-6A1CFEE9F1B3}" name="Functional Description" dataDxfId="63"/>
    <tableColumn id="12" xr3:uid="{C8195F66-1795-476D-886D-F24E984D1E3D}" name="Notes" dataDxfId="62"/>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831610-63DC-480D-9B5B-1AE768DB76B4}" name="PID_Loops" displayName="PID_Loops" ref="A10:G84" totalsRowShown="0" headerRowDxfId="5" dataDxfId="6">
  <autoFilter ref="A10:G84" xr:uid="{5D831610-63DC-480D-9B5B-1AE768DB76B4}"/>
  <tableColumns count="7">
    <tableColumn id="1" xr3:uid="{D0541CC8-13FF-4A50-9B2F-0F22EC97C41A}" name="Instrumentation Loop #" dataDxfId="13"/>
    <tableColumn id="7" xr3:uid="{AE156F9A-EFB7-4181-B962-F9B30833D94C}" name="Main System" dataDxfId="12"/>
    <tableColumn id="2" xr3:uid="{F9ED801D-C702-4253-A662-124FBDB6D446}" name="Control Vairable" dataDxfId="11"/>
    <tableColumn id="3" xr3:uid="{1AEF9077-E642-4BF3-BF51-0E991B98BD3A}" name="Instrumentation_x000a_(Sensors &amp; I/O)" dataDxfId="10"/>
    <tableColumn id="6" xr3:uid="{D7CE7A52-1BB2-47CA-B8CB-9856FC1BE8D8}" name="PLC, HMI, DSC, SIS, Drive, etc." dataDxfId="9"/>
    <tableColumn id="4" xr3:uid="{A1A9DAC0-6B55-4861-B998-4FC3D51688C6}" name="Final Control Element(s)" dataDxfId="8"/>
    <tableColumn id="5" xr3:uid="{9A60921C-9B81-4D9C-9CDA-C32F9F6CC321}" name="Loop Description &amp; Notes" dataDxfId="7"/>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77F7AC-9638-4EBA-A98C-CF0460937759}" name="Utility_Load" displayName="Utility_Load" ref="A11:Q18" totalsRowShown="0" headerRowDxfId="61" dataDxfId="60">
  <autoFilter ref="A11:Q18" xr:uid="{1D77F7AC-9638-4EBA-A98C-CF0460937759}"/>
  <sortState xmlns:xlrd2="http://schemas.microsoft.com/office/spreadsheetml/2017/richdata2" ref="A12:Q18">
    <sortCondition ref="A11:A18"/>
  </sortState>
  <tableColumns count="17">
    <tableColumn id="1" xr3:uid="{9F59D56A-A22C-4BC6-B5E0-146F246BC8C5}" name="Master Equipment List Item" dataDxfId="59"/>
    <tableColumn id="2" xr3:uid="{CBD67256-F727-460C-99CD-3B612DA59B5A}" name="QTY" dataDxfId="58"/>
    <tableColumn id="13" xr3:uid="{9BF980CB-BB72-4971-AB0F-14F30079E76A}" name="Manufacturer" dataDxfId="57"/>
    <tableColumn id="12" xr3:uid="{EAC8A42D-A38C-4ED9-A8DC-C64096E86AB6}" name="Part Number" dataDxfId="56"/>
    <tableColumn id="15" xr3:uid="{380878FD-0016-4441-9B80-89DFF84D4593}" name="Functional Description" dataDxfId="32"/>
    <tableColumn id="3" xr3:uid="{942C4786-2261-4297-956C-68893B50E6FF}" name="P&amp;ID Tags" dataDxfId="55"/>
    <tableColumn id="17" xr3:uid="{AE1F6AD4-406F-4C7B-96ED-A6DBF641A186}" name="ELEC Tag" dataDxfId="54"/>
    <tableColumn id="14" xr3:uid="{2E542E52-79F7-4E85-A591-F6088277A18B}" name="HYD Tag" dataDxfId="53"/>
    <tableColumn id="4" xr3:uid="{24BA12C7-FBC3-4B3A-ADBF-F1261622159B}" name="PNU Tag" dataDxfId="34"/>
    <tableColumn id="6" xr3:uid="{B74785AF-F6EA-43A4-97CF-C080390A46E9}" name="Voltage" dataDxfId="33"/>
    <tableColumn id="7" xr3:uid="{6D5249E4-7E0C-4B51-B953-005C1DB8F01D}" name="Phase" dataDxfId="52"/>
    <tableColumn id="8" xr3:uid="{6C57ED70-CFB0-436F-AFBD-93F30EADB176}" name="F.L.A." dataDxfId="51"/>
    <tableColumn id="5" xr3:uid="{677D50A7-3AE5-478B-94AA-87D1A757B334}" name="Power" dataDxfId="50">
      <calculatedColumnFormula>Utility_Load[[#This Row],[F.L.A.]]*Utility_Load[[#This Row],[Voltage]]</calculatedColumnFormula>
    </tableColumn>
    <tableColumn id="16" xr3:uid="{FDF84654-130B-4F7F-B631-E0C1B4D0967F}" name="Power Units" dataDxfId="49"/>
    <tableColumn id="9" xr3:uid="{42B0CF4D-5E60-4C47-87AA-340951657BF7}" name="PSI" dataDxfId="48"/>
    <tableColumn id="10" xr3:uid="{79F345BE-B64C-4C2A-85DE-FEEF5E1ACFF2}" name="CFM" dataDxfId="47"/>
    <tableColumn id="11" xr3:uid="{0091019A-7B79-4897-9E32-7EB0E760F269}" name="Duty Cycle" dataDxfId="46"/>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8F38E7-E17D-48EA-8DAE-43D5BCC17A30}" name="Heat_Noise" displayName="Heat_Noise" ref="A19:P89" totalsRowShown="0" headerRowDxfId="122" dataDxfId="121">
  <autoFilter ref="A19:P89" xr:uid="{3F8F38E7-E17D-48EA-8DAE-43D5BCC17A30}"/>
  <sortState xmlns:xlrd2="http://schemas.microsoft.com/office/spreadsheetml/2017/richdata2" ref="A20:P89">
    <sortCondition ref="A19:A89"/>
  </sortState>
  <tableColumns count="16">
    <tableColumn id="1" xr3:uid="{39EEEC7E-2887-47EC-991C-65DF246991AE}" name="Master Equipment List Item" dataDxfId="120"/>
    <tableColumn id="16" xr3:uid="{982D98F3-5062-4870-BF30-9A611E458E2E}" name="Location / Cabinet" dataDxfId="119"/>
    <tableColumn id="13" xr3:uid="{4459C290-F933-4D1C-8E15-5B4EB7DF694A}" name="Manufacturer" dataDxfId="118"/>
    <tableColumn id="12" xr3:uid="{DC67A64C-8A0B-454F-93A7-668C4BB5277A}" name="Part Number" dataDxfId="117"/>
    <tableColumn id="2" xr3:uid="{613FA77D-6DD5-408D-9CF6-015A16AB9B78}" name="QTY" dataDxfId="116"/>
    <tableColumn id="3" xr3:uid="{24E2862F-8E3E-4825-94B7-52F58D344191}" name="P&amp;ID Tags" dataDxfId="115"/>
    <tableColumn id="17" xr3:uid="{DC65CDE4-FFE3-42D8-A9DA-7E5672866AD5}" name="ELEC Tags" dataDxfId="114"/>
    <tableColumn id="14" xr3:uid="{5D4690C7-3F97-4C48-B0E7-BD94DB9240E5}" name="HYD Tags" dataDxfId="113"/>
    <tableColumn id="4" xr3:uid="{CC191CB5-4E86-4CF3-A6F1-4C8C1B05F809}" name="PNU Tags" dataDxfId="26"/>
    <tableColumn id="15" xr3:uid="{E679A10B-7FA7-4D8F-B478-596CD4CB4063}" name="Functional Description" dataDxfId="24"/>
    <tableColumn id="8" xr3:uid="{75936D34-42A8-420D-81F7-CEEC0FDDDB03}" name="Power (W or VA)" dataDxfId="25"/>
    <tableColumn id="6" xr3:uid="{19E6790B-1C56-4F67-8B0C-8D980ADECE81}" name="Max Efficiency or Losses" dataDxfId="112"/>
    <tableColumn id="7" xr3:uid="{2287E27F-C167-4F74-A791-1E2653FCFE47}" name="Efficiency / Loss Units" dataDxfId="111"/>
    <tableColumn id="18" xr3:uid="{0C103537-D95A-40CF-8BA6-F1BACC47257E}" name="BTU/hr Losses" dataDxfId="110">
      <calculatedColumnFormula array="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calculatedColumnFormula>
    </tableColumn>
    <tableColumn id="5" xr3:uid="{5988C784-2899-49DE-8A73-6C788EF694B8}" name="Noise (dBA)" dataDxfId="109"/>
    <tableColumn id="9" xr3:uid="{243C529F-0B69-4A77-BD74-ECF101492A16}" name="Notes" dataDxfId="108"/>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A55EDE4-509D-4230-81C9-36B588F1C850}" name="Heat_Noise_Totals" displayName="Heat_Noise_Totals" ref="C8:N14" totalsRowShown="0" headerRowDxfId="107" dataDxfId="106">
  <autoFilter ref="C8:N14" xr:uid="{FA55EDE4-509D-4230-81C9-36B588F1C850}"/>
  <tableColumns count="12">
    <tableColumn id="1" xr3:uid="{63440E4F-B85F-48BD-B2B2-20EA249D576E}" name="Location / Cabinet" dataDxfId="105"/>
    <tableColumn id="2" xr3:uid="{4986D3CE-B12C-4310-9ECC-62182C5125DD}" name="Description" dataDxfId="104"/>
    <tableColumn id="12" xr3:uid="{1592C053-AD0F-4F10-8FA2-DC2A8F899E38}" name="Target Cabinet Temp (°F)" dataDxfId="103"/>
    <tableColumn id="3" xr3:uid="{092E60A2-C5A0-44C9-915C-15ABD8C6EB5A}" name="Height_x000a_(in)" dataDxfId="102"/>
    <tableColumn id="4" xr3:uid="{9C17769B-9297-4490-9AC2-16683034C770}" name="Width_x000a_(in)" dataDxfId="101"/>
    <tableColumn id="5" xr3:uid="{C66A0CA1-6393-4E09-91E7-3B47D3CC69DF}" name="Depth_x000a_(in)" dataDxfId="100"/>
    <tableColumn id="6" xr3:uid="{4233BF34-4A63-4508-82A6-C38B232A2298}" name="Surface Area (ft^2)" dataDxfId="40"/>
    <tableColumn id="9" xr3:uid="{18D58B47-23E6-4096-BA2B-3BE11E354AC8}" name="Temp Differential (∆°F)" dataDxfId="99"/>
    <tableColumn id="7" xr3:uid="{CE995D61-AC96-4CCA-8221-244C9A6FA577}" name="Heat Load (BTU/Hr)" dataDxfId="43">
      <calculatedColumnFormula array="1">_xlfn.LET(
  _xlpm.loc, TRIM(Heat_Noise_Totals[[#This Row],[Location / Cabinet]]),
  SUMPRODUCT(
    (TRIM(Heat_Noise[Location / Cabinet])=_xlpm.loc) *
    _xlfn.NUMBERVALUE(Heat_Noise[QTY]) *
    _xlfn.NUMBERVALUE(Heat_Noise[BTU/hr Losses])
  )
)</calculatedColumnFormula>
    </tableColumn>
    <tableColumn id="8" xr3:uid="{7D1073BA-BB2F-4141-B222-E40E4A3F67C7}" name="Heat Load (External) (BTU/Hr)" dataDxfId="42"/>
    <tableColumn id="10" xr3:uid="{2790B9D5-3A79-42DC-B610-B92CE80D77B4}" name="Total Heat Load (BTU/Hr)" dataDxfId="41"/>
    <tableColumn id="11" xr3:uid="{3E21DD09-156F-4E5D-A614-EE5DCF1A1A14}" name="Noise (dB)" dataDxfId="39"/>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5F9B628-38B6-4CA7-A78A-20CC31E2F6CF}" name="All_BOM_Parts" displayName="All_BOM_Parts" ref="A3:K226" tableType="queryTable" totalsRowShown="0" headerRowDxfId="45" dataDxfId="44">
  <autoFilter ref="A3:K226" xr:uid="{45F9B628-38B6-4CA7-A78A-20CC31E2F6CF}"/>
  <tableColumns count="11">
    <tableColumn id="1" xr3:uid="{E9B00F4A-9FF0-4546-A523-F32833E7DF5F}" uniqueName="1" name="BOM Source" queryTableFieldId="1" dataDxfId="23"/>
    <tableColumn id="2" xr3:uid="{E8C898F8-86CA-4A49-BECA-C05C6A3BCFDD}" uniqueName="2" name="Item" queryTableFieldId="2" dataDxfId="22"/>
    <tableColumn id="3" xr3:uid="{ECED7B90-01CF-4176-975E-EA57279584DD}" uniqueName="3" name="Phase" queryTableFieldId="3" dataDxfId="21"/>
    <tableColumn id="4" xr3:uid="{960F7341-E340-4DF3-B053-269D646995AA}" uniqueName="4" name="Manufacturer" queryTableFieldId="4" dataDxfId="20"/>
    <tableColumn id="5" xr3:uid="{DBDFABC0-6D4C-405A-B570-0C4B46A16C1B}" uniqueName="5" name="Part Number" queryTableFieldId="5" dataDxfId="19"/>
    <tableColumn id="12" xr3:uid="{7DD22115-E789-4882-87F9-BCC0E315644E}" uniqueName="12" name="Description" queryTableFieldId="12"/>
    <tableColumn id="6" xr3:uid="{6862406F-5D5C-4FBA-9B12-8C84E6085323}" uniqueName="6" name="Assy QTY" queryTableFieldId="6" dataDxfId="18"/>
    <tableColumn id="7" xr3:uid="{459C6D03-3102-492C-BF35-FEA44CFD1D7C}" uniqueName="7" name="QTY" queryTableFieldId="7" dataDxfId="17"/>
    <tableColumn id="8" xr3:uid="{6FAB15FC-873C-45E7-9837-4E344A718865}" uniqueName="8" name="NEED" queryTableFieldId="8" dataDxfId="16"/>
    <tableColumn id="9" xr3:uid="{3C7DE7BD-EB56-4AD8-B027-44EAD9F9D50D}" uniqueName="9" name="LOC" queryTableFieldId="9" dataDxfId="15"/>
    <tableColumn id="10" xr3:uid="{FD99B9C0-0CE6-4E6B-9CFA-8C77EA7C17BC}" uniqueName="10" name="LOC Description" queryTableFieldId="10" dataDxf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3B212-08A1-436F-99F9-904200B2DB2F}">
  <sheetPr codeName="Sheet1"/>
  <dimension ref="A1:R217"/>
  <sheetViews>
    <sheetView tabSelected="1" zoomScale="85" zoomScaleNormal="85" workbookViewId="0">
      <pane xSplit="5" topLeftCell="F1" activePane="topRight" state="frozen"/>
      <selection pane="topRight" activeCell="H5" sqref="H5"/>
    </sheetView>
  </sheetViews>
  <sheetFormatPr defaultRowHeight="15" x14ac:dyDescent="0.25"/>
  <cols>
    <col min="1" max="1" width="11.42578125" style="7" customWidth="1"/>
    <col min="2" max="2" width="10.42578125" style="7" customWidth="1"/>
    <col min="3" max="3" width="7.42578125" style="7" customWidth="1"/>
    <col min="4" max="4" width="26" style="7" customWidth="1"/>
    <col min="5" max="5" width="27.7109375" style="7" customWidth="1"/>
    <col min="6" max="6" width="53.7109375" style="7" customWidth="1"/>
    <col min="7" max="7" width="9.5703125" style="7" customWidth="1"/>
    <col min="8" max="8" width="10.28515625" style="7" customWidth="1"/>
    <col min="9" max="9" width="23.85546875" style="7" customWidth="1"/>
    <col min="10" max="10" width="19" style="7" customWidth="1"/>
    <col min="11" max="11" width="18" style="7" customWidth="1"/>
    <col min="12" max="12" width="63" style="7" customWidth="1"/>
    <col min="13" max="13" width="24" style="7" customWidth="1"/>
    <col min="14" max="14" width="14.140625" style="7" customWidth="1"/>
    <col min="15" max="15" width="16.28515625" style="7" customWidth="1"/>
    <col min="16" max="16" width="12.85546875" style="7" customWidth="1"/>
    <col min="17" max="17" width="12.28515625" style="7" customWidth="1"/>
    <col min="18" max="18" width="75.7109375" style="7" customWidth="1"/>
    <col min="19" max="19" width="15.7109375" style="7" customWidth="1"/>
    <col min="20" max="20" width="82.5703125" style="7" customWidth="1"/>
    <col min="21" max="16384" width="9.140625" style="7"/>
  </cols>
  <sheetData>
    <row r="1" spans="1:18" ht="15.75" thickBot="1" x14ac:dyDescent="0.3">
      <c r="A1" s="81" t="s">
        <v>344</v>
      </c>
      <c r="B1" s="82"/>
      <c r="C1" s="82"/>
      <c r="D1" s="83"/>
    </row>
    <row r="2" spans="1:18" x14ac:dyDescent="0.25">
      <c r="A2" s="95" t="s">
        <v>345</v>
      </c>
      <c r="B2" s="96"/>
      <c r="C2" s="97">
        <v>20570</v>
      </c>
      <c r="D2" s="90"/>
    </row>
    <row r="3" spans="1:18" x14ac:dyDescent="0.25">
      <c r="A3" s="77" t="s">
        <v>346</v>
      </c>
      <c r="B3" s="84"/>
      <c r="C3" s="91" t="s">
        <v>1687</v>
      </c>
      <c r="D3" s="86"/>
    </row>
    <row r="4" spans="1:18" ht="15.75" thickBot="1" x14ac:dyDescent="0.3">
      <c r="A4" s="77" t="s">
        <v>350</v>
      </c>
      <c r="B4" s="84"/>
      <c r="C4" s="91" t="s">
        <v>343</v>
      </c>
      <c r="D4" s="86"/>
    </row>
    <row r="5" spans="1:18" x14ac:dyDescent="0.25">
      <c r="A5" s="77" t="s">
        <v>348</v>
      </c>
      <c r="B5" s="84"/>
      <c r="C5" s="91" t="s">
        <v>124</v>
      </c>
      <c r="D5" s="86"/>
      <c r="E5" s="21" t="s">
        <v>397</v>
      </c>
      <c r="F5" s="3" t="s">
        <v>393</v>
      </c>
    </row>
    <row r="6" spans="1:18" ht="31.5" customHeight="1" thickBot="1" x14ac:dyDescent="0.3">
      <c r="A6" s="77" t="s">
        <v>394</v>
      </c>
      <c r="B6" s="84"/>
      <c r="C6" s="91" t="s">
        <v>1688</v>
      </c>
      <c r="D6" s="86"/>
      <c r="E6" s="27" t="s">
        <v>389</v>
      </c>
      <c r="F6" s="22" t="s">
        <v>714</v>
      </c>
    </row>
    <row r="7" spans="1:18" ht="15.75" thickBot="1" x14ac:dyDescent="0.3">
      <c r="A7" s="79" t="s">
        <v>349</v>
      </c>
      <c r="B7" s="80"/>
      <c r="C7" s="92">
        <v>46073.355636574073</v>
      </c>
      <c r="D7" s="93"/>
    </row>
    <row r="8" spans="1:18" s="2" customFormat="1" ht="80.25" customHeight="1" thickBot="1" x14ac:dyDescent="0.3">
      <c r="H8" s="94" t="s">
        <v>1137</v>
      </c>
      <c r="I8" s="94"/>
      <c r="J8" s="94"/>
      <c r="L8" s="1" t="s">
        <v>1145</v>
      </c>
    </row>
    <row r="9" spans="1:18" ht="61.5" customHeight="1" thickBot="1" x14ac:dyDescent="0.3">
      <c r="A9" s="81" t="str">
        <f>"Your Company" &amp; CHAR(10) &amp; Proj_Number &amp; " - " &amp; Proj_Customer &amp; " - " &amp; Proj_Name &amp; CHAR(10) &amp; "Master Equipment List"</f>
        <v>Your Company
20570 - Company - 600HP Face Reversing 4H Rolling Mill
Master Equipment List</v>
      </c>
      <c r="B9" s="82"/>
      <c r="C9" s="82"/>
      <c r="D9" s="82"/>
      <c r="E9" s="82"/>
      <c r="F9" s="82"/>
      <c r="G9" s="82"/>
      <c r="H9" s="151"/>
      <c r="I9" s="151"/>
      <c r="J9" s="151"/>
      <c r="K9" s="83"/>
      <c r="L9" s="81" t="s">
        <v>395</v>
      </c>
      <c r="M9" s="82"/>
      <c r="N9" s="82"/>
      <c r="O9" s="83"/>
      <c r="P9" s="28"/>
      <c r="Q9" s="66"/>
    </row>
    <row r="10" spans="1:18" ht="45.75" thickBot="1" x14ac:dyDescent="0.3">
      <c r="A10" s="1" t="s">
        <v>330</v>
      </c>
      <c r="B10" s="1" t="s">
        <v>331</v>
      </c>
      <c r="C10" s="1" t="s">
        <v>390</v>
      </c>
      <c r="D10" s="1" t="s">
        <v>0</v>
      </c>
      <c r="E10" s="1" t="s">
        <v>1</v>
      </c>
      <c r="F10" s="1" t="s">
        <v>2</v>
      </c>
      <c r="G10" s="1" t="s">
        <v>332</v>
      </c>
      <c r="H10" s="1" t="s">
        <v>391</v>
      </c>
      <c r="I10" s="4" t="s">
        <v>106</v>
      </c>
      <c r="J10" s="5" t="s">
        <v>107</v>
      </c>
      <c r="K10" s="6" t="s">
        <v>108</v>
      </c>
      <c r="L10" s="1" t="s">
        <v>396</v>
      </c>
      <c r="M10" s="23" t="s">
        <v>340</v>
      </c>
      <c r="N10" s="1" t="s">
        <v>139</v>
      </c>
      <c r="O10" s="1" t="s">
        <v>713</v>
      </c>
      <c r="P10" s="1" t="s">
        <v>130</v>
      </c>
      <c r="Q10" s="8" t="s">
        <v>333</v>
      </c>
      <c r="R10" s="1" t="s">
        <v>3</v>
      </c>
    </row>
    <row r="11" spans="1:18" x14ac:dyDescent="0.25">
      <c r="A11" s="132">
        <v>1</v>
      </c>
      <c r="B11" s="132" t="s">
        <v>400</v>
      </c>
      <c r="C11" s="124">
        <v>1</v>
      </c>
      <c r="D11" s="125" t="s">
        <v>401</v>
      </c>
      <c r="E11" s="125" t="s">
        <v>402</v>
      </c>
      <c r="F11" s="159" t="s">
        <v>1469</v>
      </c>
      <c r="G11" s="124">
        <v>1</v>
      </c>
      <c r="H11" s="124">
        <v>1</v>
      </c>
      <c r="I11" s="51" t="s">
        <v>409</v>
      </c>
      <c r="J11" s="126" t="s">
        <v>707</v>
      </c>
      <c r="K11" s="52" t="s">
        <v>707</v>
      </c>
      <c r="L11" s="133" t="s">
        <v>756</v>
      </c>
      <c r="M11" s="26"/>
      <c r="N11" s="20" t="s">
        <v>389</v>
      </c>
      <c r="O11" s="20" t="s">
        <v>389</v>
      </c>
      <c r="P11" s="20" t="s">
        <v>389</v>
      </c>
      <c r="Q11" s="149" t="s">
        <v>389</v>
      </c>
      <c r="R11" s="25"/>
    </row>
    <row r="12" spans="1:18" ht="27" x14ac:dyDescent="0.25">
      <c r="A12" s="132">
        <v>2</v>
      </c>
      <c r="B12" s="132" t="s">
        <v>400</v>
      </c>
      <c r="C12" s="124">
        <v>1</v>
      </c>
      <c r="D12" s="125" t="s">
        <v>403</v>
      </c>
      <c r="E12" s="125" t="s">
        <v>404</v>
      </c>
      <c r="F12" s="159" t="s">
        <v>1467</v>
      </c>
      <c r="G12" s="124">
        <v>5</v>
      </c>
      <c r="H12" s="124">
        <v>5</v>
      </c>
      <c r="I12" s="51" t="s">
        <v>405</v>
      </c>
      <c r="J12" s="126" t="s">
        <v>707</v>
      </c>
      <c r="K12" s="52" t="s">
        <v>707</v>
      </c>
      <c r="L12" s="133" t="s">
        <v>754</v>
      </c>
      <c r="M12" s="26"/>
      <c r="N12" s="20" t="s">
        <v>389</v>
      </c>
      <c r="O12" s="20" t="s">
        <v>389</v>
      </c>
      <c r="P12" s="20" t="s">
        <v>389</v>
      </c>
      <c r="Q12" s="134" t="s">
        <v>389</v>
      </c>
      <c r="R12" s="25"/>
    </row>
    <row r="13" spans="1:18" x14ac:dyDescent="0.25">
      <c r="A13" s="132">
        <v>3</v>
      </c>
      <c r="B13" s="132" t="s">
        <v>400</v>
      </c>
      <c r="C13" s="124">
        <v>1</v>
      </c>
      <c r="D13" s="125" t="s">
        <v>401</v>
      </c>
      <c r="E13" s="125" t="s">
        <v>406</v>
      </c>
      <c r="F13" s="159" t="s">
        <v>1471</v>
      </c>
      <c r="G13" s="124">
        <v>1</v>
      </c>
      <c r="H13" s="124">
        <v>1</v>
      </c>
      <c r="I13" s="51" t="s">
        <v>407</v>
      </c>
      <c r="J13" s="126" t="s">
        <v>707</v>
      </c>
      <c r="K13" s="52" t="s">
        <v>707</v>
      </c>
      <c r="L13" s="133" t="s">
        <v>758</v>
      </c>
      <c r="M13" s="26"/>
      <c r="N13" s="20" t="s">
        <v>389</v>
      </c>
      <c r="O13" s="20" t="s">
        <v>389</v>
      </c>
      <c r="P13" s="20" t="s">
        <v>715</v>
      </c>
      <c r="Q13" s="134" t="s">
        <v>389</v>
      </c>
      <c r="R13" s="25"/>
    </row>
    <row r="14" spans="1:18" x14ac:dyDescent="0.25">
      <c r="A14" s="132">
        <v>4</v>
      </c>
      <c r="B14" s="132" t="s">
        <v>400</v>
      </c>
      <c r="C14" s="124">
        <v>1</v>
      </c>
      <c r="D14" s="125" t="s">
        <v>401</v>
      </c>
      <c r="E14" s="125" t="s">
        <v>408</v>
      </c>
      <c r="F14" s="159" t="s">
        <v>1474</v>
      </c>
      <c r="G14" s="124">
        <v>1</v>
      </c>
      <c r="H14" s="124">
        <v>1</v>
      </c>
      <c r="I14" s="51" t="s">
        <v>409</v>
      </c>
      <c r="J14" s="126" t="s">
        <v>707</v>
      </c>
      <c r="K14" s="52" t="s">
        <v>707</v>
      </c>
      <c r="L14" s="133" t="s">
        <v>761</v>
      </c>
      <c r="M14" s="26"/>
      <c r="N14" s="20" t="s">
        <v>389</v>
      </c>
      <c r="O14" s="20" t="s">
        <v>389</v>
      </c>
      <c r="P14" s="20" t="s">
        <v>389</v>
      </c>
      <c r="Q14" s="134" t="s">
        <v>389</v>
      </c>
      <c r="R14" s="25"/>
    </row>
    <row r="15" spans="1:18" ht="27" x14ac:dyDescent="0.25">
      <c r="A15" s="132">
        <v>5</v>
      </c>
      <c r="B15" s="132" t="s">
        <v>400</v>
      </c>
      <c r="C15" s="124">
        <v>1</v>
      </c>
      <c r="D15" s="125" t="s">
        <v>401</v>
      </c>
      <c r="E15" s="125" t="s">
        <v>410</v>
      </c>
      <c r="F15" s="159" t="s">
        <v>1470</v>
      </c>
      <c r="G15" s="124">
        <v>1</v>
      </c>
      <c r="H15" s="124">
        <v>1</v>
      </c>
      <c r="I15" s="51" t="s">
        <v>411</v>
      </c>
      <c r="J15" s="126" t="s">
        <v>707</v>
      </c>
      <c r="K15" s="52" t="s">
        <v>707</v>
      </c>
      <c r="L15" s="133" t="s">
        <v>757</v>
      </c>
      <c r="M15" s="26"/>
      <c r="N15" s="20" t="s">
        <v>389</v>
      </c>
      <c r="O15" s="20" t="s">
        <v>389</v>
      </c>
      <c r="P15" s="20" t="s">
        <v>715</v>
      </c>
      <c r="Q15" s="134" t="s">
        <v>389</v>
      </c>
      <c r="R15" s="25"/>
    </row>
    <row r="16" spans="1:18" x14ac:dyDescent="0.25">
      <c r="A16" s="132">
        <v>6</v>
      </c>
      <c r="B16" s="132" t="s">
        <v>400</v>
      </c>
      <c r="C16" s="124">
        <v>1</v>
      </c>
      <c r="D16" s="125" t="s">
        <v>401</v>
      </c>
      <c r="E16" s="125" t="s">
        <v>412</v>
      </c>
      <c r="F16" s="159" t="s">
        <v>1472</v>
      </c>
      <c r="G16" s="124">
        <v>1</v>
      </c>
      <c r="H16" s="124">
        <v>1</v>
      </c>
      <c r="I16" s="51" t="s">
        <v>413</v>
      </c>
      <c r="J16" s="126" t="s">
        <v>707</v>
      </c>
      <c r="K16" s="52" t="s">
        <v>707</v>
      </c>
      <c r="L16" s="133" t="s">
        <v>759</v>
      </c>
      <c r="M16" s="26"/>
      <c r="N16" s="20" t="s">
        <v>389</v>
      </c>
      <c r="O16" s="20" t="s">
        <v>389</v>
      </c>
      <c r="P16" s="20" t="s">
        <v>715</v>
      </c>
      <c r="Q16" s="134" t="s">
        <v>389</v>
      </c>
      <c r="R16" s="25"/>
    </row>
    <row r="17" spans="1:18" x14ac:dyDescent="0.25">
      <c r="A17" s="132">
        <v>7</v>
      </c>
      <c r="B17" s="132" t="s">
        <v>400</v>
      </c>
      <c r="C17" s="124">
        <v>1</v>
      </c>
      <c r="D17" s="125" t="s">
        <v>401</v>
      </c>
      <c r="E17" s="125" t="s">
        <v>414</v>
      </c>
      <c r="F17" s="159" t="s">
        <v>1473</v>
      </c>
      <c r="G17" s="124">
        <v>1</v>
      </c>
      <c r="H17" s="124">
        <v>1</v>
      </c>
      <c r="I17" s="51" t="s">
        <v>415</v>
      </c>
      <c r="J17" s="126" t="s">
        <v>707</v>
      </c>
      <c r="K17" s="52" t="s">
        <v>707</v>
      </c>
      <c r="L17" s="133" t="s">
        <v>760</v>
      </c>
      <c r="M17" s="26"/>
      <c r="N17" s="20" t="s">
        <v>389</v>
      </c>
      <c r="O17" s="20" t="s">
        <v>389</v>
      </c>
      <c r="P17" s="20" t="s">
        <v>715</v>
      </c>
      <c r="Q17" s="134" t="s">
        <v>389</v>
      </c>
      <c r="R17" s="25"/>
    </row>
    <row r="18" spans="1:18" x14ac:dyDescent="0.25">
      <c r="A18" s="132">
        <v>8</v>
      </c>
      <c r="B18" s="132" t="s">
        <v>400</v>
      </c>
      <c r="C18" s="124">
        <v>1</v>
      </c>
      <c r="D18" s="125" t="s">
        <v>401</v>
      </c>
      <c r="E18" s="125" t="s">
        <v>416</v>
      </c>
      <c r="F18" s="159" t="s">
        <v>1468</v>
      </c>
      <c r="G18" s="124">
        <v>1</v>
      </c>
      <c r="H18" s="124">
        <v>1</v>
      </c>
      <c r="I18" s="51" t="s">
        <v>417</v>
      </c>
      <c r="J18" s="126" t="s">
        <v>707</v>
      </c>
      <c r="K18" s="52" t="s">
        <v>707</v>
      </c>
      <c r="L18" s="133" t="s">
        <v>755</v>
      </c>
      <c r="M18" s="26"/>
      <c r="N18" s="20" t="s">
        <v>389</v>
      </c>
      <c r="O18" s="20" t="s">
        <v>389</v>
      </c>
      <c r="P18" s="20" t="s">
        <v>715</v>
      </c>
      <c r="Q18" s="134" t="s">
        <v>389</v>
      </c>
      <c r="R18" s="25"/>
    </row>
    <row r="19" spans="1:18" x14ac:dyDescent="0.25">
      <c r="A19" s="132">
        <v>9</v>
      </c>
      <c r="B19" s="132" t="s">
        <v>400</v>
      </c>
      <c r="C19" s="124">
        <v>1</v>
      </c>
      <c r="D19" s="125" t="s">
        <v>401</v>
      </c>
      <c r="E19" s="125" t="s">
        <v>418</v>
      </c>
      <c r="F19" s="159" t="s">
        <v>1475</v>
      </c>
      <c r="G19" s="124">
        <v>1</v>
      </c>
      <c r="H19" s="124">
        <v>1</v>
      </c>
      <c r="I19" s="51" t="s">
        <v>409</v>
      </c>
      <c r="J19" s="126" t="s">
        <v>707</v>
      </c>
      <c r="K19" s="52" t="s">
        <v>707</v>
      </c>
      <c r="L19" s="133" t="s">
        <v>762</v>
      </c>
      <c r="M19" s="26"/>
      <c r="N19" s="20" t="s">
        <v>389</v>
      </c>
      <c r="O19" s="20" t="s">
        <v>389</v>
      </c>
      <c r="P19" s="20" t="s">
        <v>389</v>
      </c>
      <c r="Q19" s="134" t="s">
        <v>389</v>
      </c>
      <c r="R19" s="25"/>
    </row>
    <row r="20" spans="1:18" ht="67.5" x14ac:dyDescent="0.25">
      <c r="A20" s="132">
        <v>10</v>
      </c>
      <c r="B20" s="132" t="s">
        <v>400</v>
      </c>
      <c r="C20" s="124">
        <v>1</v>
      </c>
      <c r="D20" s="125" t="s">
        <v>716</v>
      </c>
      <c r="E20" s="125" t="s">
        <v>717</v>
      </c>
      <c r="F20" s="159" t="s">
        <v>1476</v>
      </c>
      <c r="G20" s="124">
        <v>3</v>
      </c>
      <c r="H20" s="124">
        <v>3</v>
      </c>
      <c r="I20" s="51" t="s">
        <v>718</v>
      </c>
      <c r="J20" s="126" t="s">
        <v>707</v>
      </c>
      <c r="K20" s="52" t="s">
        <v>707</v>
      </c>
      <c r="L20" s="133" t="s">
        <v>719</v>
      </c>
      <c r="M20" s="26" t="s">
        <v>1098</v>
      </c>
      <c r="N20" s="20" t="s">
        <v>715</v>
      </c>
      <c r="O20" s="20" t="s">
        <v>389</v>
      </c>
      <c r="P20" s="20" t="s">
        <v>389</v>
      </c>
      <c r="Q20" s="134" t="s">
        <v>389</v>
      </c>
      <c r="R20" s="25"/>
    </row>
    <row r="21" spans="1:18" ht="81" x14ac:dyDescent="0.25">
      <c r="A21" s="132">
        <v>11</v>
      </c>
      <c r="B21" s="132" t="s">
        <v>400</v>
      </c>
      <c r="C21" s="124">
        <v>1</v>
      </c>
      <c r="D21" s="125" t="s">
        <v>945</v>
      </c>
      <c r="E21" s="125" t="s">
        <v>944</v>
      </c>
      <c r="F21" s="159" t="s">
        <v>1612</v>
      </c>
      <c r="G21" s="124">
        <v>2</v>
      </c>
      <c r="H21" s="124">
        <v>0</v>
      </c>
      <c r="I21" s="51" t="s">
        <v>1102</v>
      </c>
      <c r="J21" s="126" t="s">
        <v>707</v>
      </c>
      <c r="K21" s="52" t="s">
        <v>707</v>
      </c>
      <c r="L21" s="133" t="s">
        <v>1103</v>
      </c>
      <c r="M21" s="26" t="s">
        <v>1101</v>
      </c>
      <c r="N21" s="20" t="s">
        <v>715</v>
      </c>
      <c r="O21" s="20" t="s">
        <v>389</v>
      </c>
      <c r="P21" s="20" t="s">
        <v>715</v>
      </c>
      <c r="Q21" s="134" t="s">
        <v>389</v>
      </c>
      <c r="R21" s="25"/>
    </row>
    <row r="22" spans="1:18" ht="40.5" x14ac:dyDescent="0.25">
      <c r="A22" s="132">
        <v>12</v>
      </c>
      <c r="B22" s="132" t="s">
        <v>400</v>
      </c>
      <c r="C22" s="124">
        <v>1</v>
      </c>
      <c r="D22" s="125" t="s">
        <v>419</v>
      </c>
      <c r="E22" s="125" t="s">
        <v>420</v>
      </c>
      <c r="F22" s="159" t="s">
        <v>1477</v>
      </c>
      <c r="G22" s="124">
        <v>1</v>
      </c>
      <c r="H22" s="124">
        <v>1</v>
      </c>
      <c r="I22" s="51" t="s">
        <v>421</v>
      </c>
      <c r="J22" s="126" t="s">
        <v>707</v>
      </c>
      <c r="K22" s="52" t="s">
        <v>707</v>
      </c>
      <c r="L22" s="133" t="s">
        <v>763</v>
      </c>
      <c r="M22" s="26"/>
      <c r="N22" s="20" t="s">
        <v>389</v>
      </c>
      <c r="O22" s="20" t="s">
        <v>389</v>
      </c>
      <c r="P22" s="20" t="s">
        <v>389</v>
      </c>
      <c r="Q22" s="134" t="s">
        <v>389</v>
      </c>
      <c r="R22" s="25"/>
    </row>
    <row r="23" spans="1:18" x14ac:dyDescent="0.25">
      <c r="A23" s="132">
        <v>13</v>
      </c>
      <c r="B23" s="132" t="s">
        <v>400</v>
      </c>
      <c r="C23" s="124">
        <v>1</v>
      </c>
      <c r="D23" s="125" t="s">
        <v>419</v>
      </c>
      <c r="E23" s="125" t="s">
        <v>422</v>
      </c>
      <c r="F23" s="159" t="s">
        <v>1478</v>
      </c>
      <c r="G23" s="124">
        <v>1</v>
      </c>
      <c r="H23" s="124">
        <v>1</v>
      </c>
      <c r="I23" s="51" t="s">
        <v>423</v>
      </c>
      <c r="J23" s="126" t="s">
        <v>707</v>
      </c>
      <c r="K23" s="52" t="s">
        <v>707</v>
      </c>
      <c r="L23" s="133" t="s">
        <v>764</v>
      </c>
      <c r="M23" s="26"/>
      <c r="N23" s="20" t="s">
        <v>389</v>
      </c>
      <c r="O23" s="20" t="s">
        <v>389</v>
      </c>
      <c r="P23" s="20" t="s">
        <v>715</v>
      </c>
      <c r="Q23" s="134" t="s">
        <v>389</v>
      </c>
      <c r="R23" s="25"/>
    </row>
    <row r="24" spans="1:18" x14ac:dyDescent="0.25">
      <c r="A24" s="130">
        <v>14</v>
      </c>
      <c r="B24" s="130" t="s">
        <v>400</v>
      </c>
      <c r="C24" s="135">
        <v>1</v>
      </c>
      <c r="D24" s="136" t="s">
        <v>36</v>
      </c>
      <c r="E24" s="136" t="s">
        <v>37</v>
      </c>
      <c r="F24" s="160"/>
      <c r="G24" s="135">
        <v>2</v>
      </c>
      <c r="H24" s="135">
        <v>2</v>
      </c>
      <c r="I24" s="51" t="s">
        <v>424</v>
      </c>
      <c r="J24" s="126" t="s">
        <v>707</v>
      </c>
      <c r="K24" s="52" t="s">
        <v>707</v>
      </c>
      <c r="L24" s="44" t="s">
        <v>765</v>
      </c>
      <c r="M24" s="26" t="s">
        <v>1148</v>
      </c>
      <c r="N24" s="20" t="s">
        <v>715</v>
      </c>
      <c r="O24" s="20" t="s">
        <v>389</v>
      </c>
      <c r="P24" s="20" t="s">
        <v>715</v>
      </c>
      <c r="Q24" s="156" t="s">
        <v>715</v>
      </c>
      <c r="R24" s="25"/>
    </row>
    <row r="25" spans="1:18" x14ac:dyDescent="0.25">
      <c r="A25" s="132">
        <v>15</v>
      </c>
      <c r="B25" s="132" t="s">
        <v>400</v>
      </c>
      <c r="C25" s="124">
        <v>1</v>
      </c>
      <c r="D25" s="125" t="s">
        <v>133</v>
      </c>
      <c r="E25" s="125" t="s">
        <v>134</v>
      </c>
      <c r="F25" s="159" t="s">
        <v>1481</v>
      </c>
      <c r="G25" s="124">
        <v>1</v>
      </c>
      <c r="H25" s="124">
        <v>1</v>
      </c>
      <c r="I25" s="51" t="s">
        <v>132</v>
      </c>
      <c r="J25" s="126" t="s">
        <v>707</v>
      </c>
      <c r="K25" s="52" t="s">
        <v>707</v>
      </c>
      <c r="L25" s="133" t="s">
        <v>766</v>
      </c>
      <c r="M25" s="26"/>
      <c r="N25" s="20" t="s">
        <v>715</v>
      </c>
      <c r="O25" s="20" t="s">
        <v>389</v>
      </c>
      <c r="P25" s="20" t="s">
        <v>715</v>
      </c>
      <c r="Q25" s="134" t="s">
        <v>389</v>
      </c>
      <c r="R25" s="25"/>
    </row>
    <row r="26" spans="1:18" x14ac:dyDescent="0.25">
      <c r="A26" s="132">
        <v>16</v>
      </c>
      <c r="B26" s="132" t="s">
        <v>400</v>
      </c>
      <c r="C26" s="124">
        <v>1</v>
      </c>
      <c r="D26" s="125" t="s">
        <v>5</v>
      </c>
      <c r="E26" s="125" t="s">
        <v>6</v>
      </c>
      <c r="F26" s="159" t="s">
        <v>1482</v>
      </c>
      <c r="G26" s="124">
        <v>4</v>
      </c>
      <c r="H26" s="124">
        <v>4</v>
      </c>
      <c r="I26" s="51" t="s">
        <v>767</v>
      </c>
      <c r="J26" s="126" t="s">
        <v>707</v>
      </c>
      <c r="K26" s="52" t="s">
        <v>707</v>
      </c>
      <c r="L26" s="133" t="s">
        <v>893</v>
      </c>
      <c r="M26" s="26" t="s">
        <v>1097</v>
      </c>
      <c r="N26" s="20" t="s">
        <v>715</v>
      </c>
      <c r="O26" s="20" t="s">
        <v>389</v>
      </c>
      <c r="P26" s="20" t="s">
        <v>715</v>
      </c>
      <c r="Q26" s="134" t="s">
        <v>389</v>
      </c>
      <c r="R26" s="25"/>
    </row>
    <row r="27" spans="1:18" x14ac:dyDescent="0.25">
      <c r="A27" s="132">
        <v>17</v>
      </c>
      <c r="B27" s="132" t="s">
        <v>400</v>
      </c>
      <c r="C27" s="124">
        <v>1</v>
      </c>
      <c r="D27" s="125" t="s">
        <v>5</v>
      </c>
      <c r="E27" s="125" t="s">
        <v>79</v>
      </c>
      <c r="F27" s="159" t="s">
        <v>1493</v>
      </c>
      <c r="G27" s="124">
        <v>2</v>
      </c>
      <c r="H27" s="124">
        <v>2</v>
      </c>
      <c r="I27" s="51" t="s">
        <v>425</v>
      </c>
      <c r="J27" s="126" t="s">
        <v>707</v>
      </c>
      <c r="K27" s="52" t="s">
        <v>707</v>
      </c>
      <c r="L27" s="133" t="s">
        <v>778</v>
      </c>
      <c r="M27" s="26" t="s">
        <v>1155</v>
      </c>
      <c r="N27" s="20" t="s">
        <v>715</v>
      </c>
      <c r="O27" s="20" t="s">
        <v>389</v>
      </c>
      <c r="P27" s="20" t="s">
        <v>715</v>
      </c>
      <c r="Q27" s="134" t="s">
        <v>389</v>
      </c>
      <c r="R27" s="25"/>
    </row>
    <row r="28" spans="1:18" x14ac:dyDescent="0.25">
      <c r="A28" s="132">
        <v>18</v>
      </c>
      <c r="B28" s="132" t="s">
        <v>400</v>
      </c>
      <c r="C28" s="124">
        <v>1</v>
      </c>
      <c r="D28" s="125" t="s">
        <v>5</v>
      </c>
      <c r="E28" s="125" t="s">
        <v>426</v>
      </c>
      <c r="F28" s="159" t="s">
        <v>1489</v>
      </c>
      <c r="G28" s="124">
        <v>2</v>
      </c>
      <c r="H28" s="124">
        <v>2</v>
      </c>
      <c r="I28" s="51" t="s">
        <v>427</v>
      </c>
      <c r="J28" s="126" t="s">
        <v>707</v>
      </c>
      <c r="K28" s="52" t="s">
        <v>707</v>
      </c>
      <c r="L28" s="133" t="s">
        <v>1490</v>
      </c>
      <c r="M28" s="26" t="s">
        <v>1166</v>
      </c>
      <c r="N28" s="20" t="s">
        <v>715</v>
      </c>
      <c r="O28" s="20" t="s">
        <v>389</v>
      </c>
      <c r="P28" s="20" t="s">
        <v>715</v>
      </c>
      <c r="Q28" s="134" t="s">
        <v>389</v>
      </c>
      <c r="R28" s="25"/>
    </row>
    <row r="29" spans="1:18" ht="40.5" x14ac:dyDescent="0.25">
      <c r="A29" s="132">
        <v>19</v>
      </c>
      <c r="B29" s="132" t="s">
        <v>708</v>
      </c>
      <c r="C29" s="124">
        <v>1</v>
      </c>
      <c r="D29" s="125" t="s">
        <v>5</v>
      </c>
      <c r="E29" s="125" t="s">
        <v>67</v>
      </c>
      <c r="F29" s="159" t="s">
        <v>1488</v>
      </c>
      <c r="G29" s="124">
        <v>6</v>
      </c>
      <c r="H29" s="124">
        <v>6</v>
      </c>
      <c r="I29" s="51" t="s">
        <v>428</v>
      </c>
      <c r="J29" s="126" t="s">
        <v>707</v>
      </c>
      <c r="K29" s="52" t="s">
        <v>703</v>
      </c>
      <c r="L29" s="133" t="s">
        <v>704</v>
      </c>
      <c r="M29" s="26" t="s">
        <v>1156</v>
      </c>
      <c r="N29" s="20" t="s">
        <v>715</v>
      </c>
      <c r="O29" s="20" t="s">
        <v>389</v>
      </c>
      <c r="P29" s="20" t="s">
        <v>715</v>
      </c>
      <c r="Q29" s="134" t="s">
        <v>389</v>
      </c>
      <c r="R29" s="25"/>
    </row>
    <row r="30" spans="1:18" ht="81" x14ac:dyDescent="0.25">
      <c r="A30" s="132">
        <v>20</v>
      </c>
      <c r="B30" s="132" t="s">
        <v>709</v>
      </c>
      <c r="C30" s="124">
        <v>1</v>
      </c>
      <c r="D30" s="125" t="s">
        <v>5</v>
      </c>
      <c r="E30" s="125" t="s">
        <v>19</v>
      </c>
      <c r="F30" s="159" t="s">
        <v>1487</v>
      </c>
      <c r="G30" s="124">
        <v>1</v>
      </c>
      <c r="H30" s="124">
        <v>1</v>
      </c>
      <c r="I30" s="51" t="s">
        <v>768</v>
      </c>
      <c r="J30" s="126" t="s">
        <v>583</v>
      </c>
      <c r="K30" s="52" t="s">
        <v>707</v>
      </c>
      <c r="L30" s="133" t="s">
        <v>651</v>
      </c>
      <c r="M30" s="26" t="s">
        <v>1121</v>
      </c>
      <c r="N30" s="20" t="s">
        <v>715</v>
      </c>
      <c r="O30" s="20" t="s">
        <v>389</v>
      </c>
      <c r="P30" s="20" t="s">
        <v>715</v>
      </c>
      <c r="Q30" s="134" t="s">
        <v>389</v>
      </c>
      <c r="R30" s="25"/>
    </row>
    <row r="31" spans="1:18" ht="27" x14ac:dyDescent="0.25">
      <c r="A31" s="132">
        <v>21</v>
      </c>
      <c r="B31" s="132" t="s">
        <v>709</v>
      </c>
      <c r="C31" s="124">
        <v>1</v>
      </c>
      <c r="D31" s="125" t="s">
        <v>5</v>
      </c>
      <c r="E31" s="125" t="s">
        <v>429</v>
      </c>
      <c r="F31" s="159" t="s">
        <v>1483</v>
      </c>
      <c r="G31" s="124">
        <v>1</v>
      </c>
      <c r="H31" s="124">
        <v>1</v>
      </c>
      <c r="I31" s="51" t="s">
        <v>768</v>
      </c>
      <c r="J31" s="126" t="s">
        <v>583</v>
      </c>
      <c r="K31" s="52" t="s">
        <v>707</v>
      </c>
      <c r="L31" s="133" t="s">
        <v>652</v>
      </c>
      <c r="M31" s="26"/>
      <c r="N31" s="20" t="s">
        <v>389</v>
      </c>
      <c r="O31" s="20" t="s">
        <v>389</v>
      </c>
      <c r="P31" s="20" t="s">
        <v>389</v>
      </c>
      <c r="Q31" s="134" t="s">
        <v>389</v>
      </c>
      <c r="R31" s="25"/>
    </row>
    <row r="32" spans="1:18" ht="54" x14ac:dyDescent="0.25">
      <c r="A32" s="132">
        <v>22</v>
      </c>
      <c r="B32" s="132" t="s">
        <v>709</v>
      </c>
      <c r="C32" s="124">
        <v>1</v>
      </c>
      <c r="D32" s="125" t="s">
        <v>5</v>
      </c>
      <c r="E32" s="125" t="s">
        <v>21</v>
      </c>
      <c r="F32" s="159" t="s">
        <v>1492</v>
      </c>
      <c r="G32" s="124">
        <v>1</v>
      </c>
      <c r="H32" s="124">
        <v>1</v>
      </c>
      <c r="I32" s="51" t="s">
        <v>776</v>
      </c>
      <c r="J32" s="126" t="s">
        <v>583</v>
      </c>
      <c r="K32" s="52" t="s">
        <v>707</v>
      </c>
      <c r="L32" s="133" t="s">
        <v>653</v>
      </c>
      <c r="M32" s="26" t="s">
        <v>1122</v>
      </c>
      <c r="N32" s="20" t="s">
        <v>715</v>
      </c>
      <c r="O32" s="20" t="s">
        <v>389</v>
      </c>
      <c r="P32" s="20" t="s">
        <v>715</v>
      </c>
      <c r="Q32" s="134" t="s">
        <v>389</v>
      </c>
      <c r="R32" s="25"/>
    </row>
    <row r="33" spans="1:18" ht="40.5" x14ac:dyDescent="0.25">
      <c r="A33" s="132">
        <v>23</v>
      </c>
      <c r="B33" s="132" t="s">
        <v>582</v>
      </c>
      <c r="C33" s="124">
        <v>1</v>
      </c>
      <c r="D33" s="125" t="s">
        <v>5</v>
      </c>
      <c r="E33" s="125" t="s">
        <v>31</v>
      </c>
      <c r="F33" s="159" t="s">
        <v>1662</v>
      </c>
      <c r="G33" s="124">
        <v>6</v>
      </c>
      <c r="H33" s="124">
        <v>0</v>
      </c>
      <c r="I33" s="51"/>
      <c r="J33" s="126" t="s">
        <v>616</v>
      </c>
      <c r="K33" s="52" t="s">
        <v>707</v>
      </c>
      <c r="L33" s="133" t="s">
        <v>654</v>
      </c>
      <c r="M33" s="26" t="s">
        <v>1329</v>
      </c>
      <c r="N33" s="20" t="s">
        <v>715</v>
      </c>
      <c r="O33" s="20" t="s">
        <v>389</v>
      </c>
      <c r="P33" s="20" t="s">
        <v>715</v>
      </c>
      <c r="Q33" s="134" t="s">
        <v>389</v>
      </c>
      <c r="R33" s="25"/>
    </row>
    <row r="34" spans="1:18" ht="40.5" x14ac:dyDescent="0.25">
      <c r="A34" s="132">
        <v>24</v>
      </c>
      <c r="B34" s="132" t="s">
        <v>709</v>
      </c>
      <c r="C34" s="124">
        <v>1</v>
      </c>
      <c r="D34" s="125" t="s">
        <v>5</v>
      </c>
      <c r="E34" s="125" t="s">
        <v>22</v>
      </c>
      <c r="F34" s="159" t="s">
        <v>1491</v>
      </c>
      <c r="G34" s="124">
        <v>7</v>
      </c>
      <c r="H34" s="124">
        <v>7</v>
      </c>
      <c r="I34" s="51" t="s">
        <v>774</v>
      </c>
      <c r="J34" s="126" t="s">
        <v>655</v>
      </c>
      <c r="K34" s="52" t="s">
        <v>707</v>
      </c>
      <c r="L34" s="133" t="s">
        <v>656</v>
      </c>
      <c r="M34" s="26" t="s">
        <v>1123</v>
      </c>
      <c r="N34" s="20" t="s">
        <v>715</v>
      </c>
      <c r="O34" s="20" t="s">
        <v>389</v>
      </c>
      <c r="P34" s="20" t="s">
        <v>715</v>
      </c>
      <c r="Q34" s="134" t="s">
        <v>389</v>
      </c>
      <c r="R34" s="25"/>
    </row>
    <row r="35" spans="1:18" x14ac:dyDescent="0.25">
      <c r="A35" s="132">
        <v>25</v>
      </c>
      <c r="B35" s="132" t="s">
        <v>400</v>
      </c>
      <c r="C35" s="124">
        <v>1</v>
      </c>
      <c r="D35" s="125" t="s">
        <v>430</v>
      </c>
      <c r="E35" s="125" t="s">
        <v>431</v>
      </c>
      <c r="F35" s="159" t="s">
        <v>1494</v>
      </c>
      <c r="G35" s="124">
        <v>2</v>
      </c>
      <c r="H35" s="124">
        <v>2</v>
      </c>
      <c r="I35" s="51" t="s">
        <v>125</v>
      </c>
      <c r="J35" s="126" t="s">
        <v>707</v>
      </c>
      <c r="K35" s="52" t="s">
        <v>707</v>
      </c>
      <c r="L35" s="133"/>
      <c r="M35" s="26" t="s">
        <v>707</v>
      </c>
      <c r="N35" s="20" t="s">
        <v>389</v>
      </c>
      <c r="O35" s="20" t="s">
        <v>389</v>
      </c>
      <c r="P35" s="20" t="s">
        <v>389</v>
      </c>
      <c r="Q35" s="134" t="s">
        <v>389</v>
      </c>
      <c r="R35" s="25"/>
    </row>
    <row r="36" spans="1:18" x14ac:dyDescent="0.25">
      <c r="A36" s="132">
        <v>26</v>
      </c>
      <c r="B36" s="132" t="s">
        <v>400</v>
      </c>
      <c r="C36" s="124">
        <v>1</v>
      </c>
      <c r="D36" s="125" t="s">
        <v>430</v>
      </c>
      <c r="E36" s="125" t="s">
        <v>432</v>
      </c>
      <c r="F36" s="159" t="s">
        <v>1495</v>
      </c>
      <c r="G36" s="124">
        <v>2</v>
      </c>
      <c r="H36" s="124">
        <v>2</v>
      </c>
      <c r="I36" s="51" t="s">
        <v>125</v>
      </c>
      <c r="J36" s="126" t="s">
        <v>707</v>
      </c>
      <c r="K36" s="52" t="s">
        <v>707</v>
      </c>
      <c r="L36" s="133"/>
      <c r="M36" s="26" t="s">
        <v>707</v>
      </c>
      <c r="N36" s="20" t="s">
        <v>389</v>
      </c>
      <c r="O36" s="20" t="s">
        <v>389</v>
      </c>
      <c r="P36" s="20" t="s">
        <v>389</v>
      </c>
      <c r="Q36" s="134" t="s">
        <v>389</v>
      </c>
      <c r="R36" s="25"/>
    </row>
    <row r="37" spans="1:18" x14ac:dyDescent="0.25">
      <c r="A37" s="132">
        <v>27</v>
      </c>
      <c r="B37" s="132" t="s">
        <v>400</v>
      </c>
      <c r="C37" s="124">
        <v>1</v>
      </c>
      <c r="D37" s="125" t="s">
        <v>433</v>
      </c>
      <c r="E37" s="125">
        <v>1353605</v>
      </c>
      <c r="F37" s="159" t="s">
        <v>1496</v>
      </c>
      <c r="G37" s="124">
        <v>1</v>
      </c>
      <c r="H37" s="124">
        <v>1</v>
      </c>
      <c r="I37" s="51" t="s">
        <v>434</v>
      </c>
      <c r="J37" s="126" t="s">
        <v>707</v>
      </c>
      <c r="K37" s="52" t="s">
        <v>707</v>
      </c>
      <c r="L37" s="133" t="s">
        <v>779</v>
      </c>
      <c r="M37" s="26"/>
      <c r="N37" s="20" t="s">
        <v>389</v>
      </c>
      <c r="O37" s="20" t="s">
        <v>389</v>
      </c>
      <c r="P37" s="20" t="s">
        <v>389</v>
      </c>
      <c r="Q37" s="134" t="s">
        <v>389</v>
      </c>
      <c r="R37" s="25"/>
    </row>
    <row r="38" spans="1:18" x14ac:dyDescent="0.25">
      <c r="A38" s="132">
        <v>28</v>
      </c>
      <c r="B38" s="132" t="s">
        <v>400</v>
      </c>
      <c r="C38" s="124">
        <v>1</v>
      </c>
      <c r="D38" s="125" t="s">
        <v>433</v>
      </c>
      <c r="E38" s="125" t="s">
        <v>435</v>
      </c>
      <c r="F38" s="159" t="s">
        <v>1497</v>
      </c>
      <c r="G38" s="124">
        <v>3</v>
      </c>
      <c r="H38" s="124">
        <v>3</v>
      </c>
      <c r="I38" s="51" t="s">
        <v>780</v>
      </c>
      <c r="J38" s="126" t="s">
        <v>707</v>
      </c>
      <c r="K38" s="52" t="s">
        <v>707</v>
      </c>
      <c r="L38" s="133" t="s">
        <v>781</v>
      </c>
      <c r="M38" s="26" t="s">
        <v>707</v>
      </c>
      <c r="N38" s="20" t="s">
        <v>389</v>
      </c>
      <c r="O38" s="20" t="s">
        <v>389</v>
      </c>
      <c r="P38" s="20" t="s">
        <v>389</v>
      </c>
      <c r="Q38" s="134" t="s">
        <v>389</v>
      </c>
      <c r="R38" s="25"/>
    </row>
    <row r="39" spans="1:18" x14ac:dyDescent="0.25">
      <c r="A39" s="132">
        <v>29</v>
      </c>
      <c r="B39" s="132" t="s">
        <v>400</v>
      </c>
      <c r="C39" s="124">
        <v>1</v>
      </c>
      <c r="D39" s="125" t="s">
        <v>433</v>
      </c>
      <c r="E39" s="125" t="s">
        <v>436</v>
      </c>
      <c r="F39" s="159" t="s">
        <v>1498</v>
      </c>
      <c r="G39" s="124">
        <v>3</v>
      </c>
      <c r="H39" s="124">
        <v>3</v>
      </c>
      <c r="I39" s="51" t="s">
        <v>780</v>
      </c>
      <c r="J39" s="126" t="s">
        <v>707</v>
      </c>
      <c r="K39" s="52" t="s">
        <v>707</v>
      </c>
      <c r="L39" s="133" t="s">
        <v>782</v>
      </c>
      <c r="M39" s="26" t="s">
        <v>707</v>
      </c>
      <c r="N39" s="20" t="s">
        <v>389</v>
      </c>
      <c r="O39" s="20" t="s">
        <v>389</v>
      </c>
      <c r="P39" s="20" t="s">
        <v>389</v>
      </c>
      <c r="Q39" s="134" t="s">
        <v>389</v>
      </c>
      <c r="R39" s="25"/>
    </row>
    <row r="40" spans="1:18" x14ac:dyDescent="0.25">
      <c r="A40" s="132">
        <v>30</v>
      </c>
      <c r="B40" s="132" t="s">
        <v>400</v>
      </c>
      <c r="C40" s="124">
        <v>1</v>
      </c>
      <c r="D40" s="125" t="s">
        <v>433</v>
      </c>
      <c r="E40" s="125" t="s">
        <v>437</v>
      </c>
      <c r="F40" s="159" t="s">
        <v>1499</v>
      </c>
      <c r="G40" s="124">
        <v>3</v>
      </c>
      <c r="H40" s="124">
        <v>3</v>
      </c>
      <c r="I40" s="51" t="s">
        <v>434</v>
      </c>
      <c r="J40" s="126" t="s">
        <v>707</v>
      </c>
      <c r="K40" s="52" t="s">
        <v>707</v>
      </c>
      <c r="L40" s="133" t="s">
        <v>783</v>
      </c>
      <c r="M40" s="26" t="s">
        <v>707</v>
      </c>
      <c r="N40" s="20" t="s">
        <v>389</v>
      </c>
      <c r="O40" s="20" t="s">
        <v>389</v>
      </c>
      <c r="P40" s="20" t="s">
        <v>389</v>
      </c>
      <c r="Q40" s="134" t="s">
        <v>389</v>
      </c>
      <c r="R40" s="25"/>
    </row>
    <row r="41" spans="1:18" ht="27" x14ac:dyDescent="0.25">
      <c r="A41" s="132">
        <v>31</v>
      </c>
      <c r="B41" s="132" t="s">
        <v>400</v>
      </c>
      <c r="C41" s="124">
        <v>1</v>
      </c>
      <c r="D41" s="125" t="s">
        <v>438</v>
      </c>
      <c r="E41" s="125" t="s">
        <v>439</v>
      </c>
      <c r="F41" s="159" t="s">
        <v>1501</v>
      </c>
      <c r="G41" s="124">
        <v>3</v>
      </c>
      <c r="H41" s="124">
        <v>3</v>
      </c>
      <c r="I41" s="51" t="s">
        <v>440</v>
      </c>
      <c r="J41" s="126" t="s">
        <v>707</v>
      </c>
      <c r="K41" s="52" t="s">
        <v>707</v>
      </c>
      <c r="L41" s="133" t="s">
        <v>785</v>
      </c>
      <c r="M41" s="26" t="s">
        <v>707</v>
      </c>
      <c r="N41" s="20" t="s">
        <v>389</v>
      </c>
      <c r="O41" s="20" t="s">
        <v>389</v>
      </c>
      <c r="P41" s="20" t="s">
        <v>389</v>
      </c>
      <c r="Q41" s="134" t="s">
        <v>389</v>
      </c>
      <c r="R41" s="25"/>
    </row>
    <row r="42" spans="1:18" ht="27" x14ac:dyDescent="0.25">
      <c r="A42" s="132">
        <v>32</v>
      </c>
      <c r="B42" s="132" t="s">
        <v>400</v>
      </c>
      <c r="C42" s="124">
        <v>1</v>
      </c>
      <c r="D42" s="125" t="s">
        <v>438</v>
      </c>
      <c r="E42" s="125" t="s">
        <v>441</v>
      </c>
      <c r="F42" s="159" t="s">
        <v>1508</v>
      </c>
      <c r="G42" s="124">
        <v>1</v>
      </c>
      <c r="H42" s="124">
        <v>1</v>
      </c>
      <c r="I42" s="51" t="s">
        <v>440</v>
      </c>
      <c r="J42" s="126" t="s">
        <v>707</v>
      </c>
      <c r="K42" s="52" t="s">
        <v>707</v>
      </c>
      <c r="L42" s="133" t="s">
        <v>796</v>
      </c>
      <c r="M42" s="26" t="s">
        <v>707</v>
      </c>
      <c r="N42" s="20" t="s">
        <v>389</v>
      </c>
      <c r="O42" s="20" t="s">
        <v>389</v>
      </c>
      <c r="P42" s="20" t="s">
        <v>715</v>
      </c>
      <c r="Q42" s="134" t="s">
        <v>389</v>
      </c>
      <c r="R42" s="25"/>
    </row>
    <row r="43" spans="1:18" x14ac:dyDescent="0.25">
      <c r="A43" s="132">
        <v>33</v>
      </c>
      <c r="B43" s="132" t="s">
        <v>400</v>
      </c>
      <c r="C43" s="124">
        <v>1</v>
      </c>
      <c r="D43" s="125" t="s">
        <v>438</v>
      </c>
      <c r="E43" s="125" t="s">
        <v>442</v>
      </c>
      <c r="F43" s="159" t="s">
        <v>1506</v>
      </c>
      <c r="G43" s="124">
        <v>1</v>
      </c>
      <c r="H43" s="124">
        <v>1</v>
      </c>
      <c r="I43" s="51" t="s">
        <v>440</v>
      </c>
      <c r="J43" s="126" t="s">
        <v>707</v>
      </c>
      <c r="K43" s="52" t="s">
        <v>707</v>
      </c>
      <c r="L43" s="133" t="s">
        <v>794</v>
      </c>
      <c r="M43" s="26" t="s">
        <v>707</v>
      </c>
      <c r="N43" s="20" t="s">
        <v>389</v>
      </c>
      <c r="O43" s="20" t="s">
        <v>389</v>
      </c>
      <c r="P43" s="20" t="s">
        <v>389</v>
      </c>
      <c r="Q43" s="134" t="s">
        <v>389</v>
      </c>
      <c r="R43" s="25"/>
    </row>
    <row r="44" spans="1:18" x14ac:dyDescent="0.25">
      <c r="A44" s="132">
        <v>34</v>
      </c>
      <c r="B44" s="132" t="s">
        <v>400</v>
      </c>
      <c r="C44" s="124">
        <v>1</v>
      </c>
      <c r="D44" s="125" t="s">
        <v>438</v>
      </c>
      <c r="E44" s="125" t="s">
        <v>443</v>
      </c>
      <c r="F44" s="159" t="s">
        <v>1509</v>
      </c>
      <c r="G44" s="124">
        <v>1</v>
      </c>
      <c r="H44" s="124">
        <v>1</v>
      </c>
      <c r="I44" s="51" t="s">
        <v>440</v>
      </c>
      <c r="J44" s="126" t="s">
        <v>707</v>
      </c>
      <c r="K44" s="52" t="s">
        <v>707</v>
      </c>
      <c r="L44" s="133" t="s">
        <v>797</v>
      </c>
      <c r="M44" s="26" t="s">
        <v>707</v>
      </c>
      <c r="N44" s="20" t="s">
        <v>389</v>
      </c>
      <c r="O44" s="20" t="s">
        <v>389</v>
      </c>
      <c r="P44" s="20" t="s">
        <v>389</v>
      </c>
      <c r="Q44" s="134" t="s">
        <v>389</v>
      </c>
      <c r="R44" s="25"/>
    </row>
    <row r="45" spans="1:18" ht="40.5" x14ac:dyDescent="0.25">
      <c r="A45" s="132">
        <v>35</v>
      </c>
      <c r="B45" s="132" t="s">
        <v>400</v>
      </c>
      <c r="C45" s="124">
        <v>1</v>
      </c>
      <c r="D45" s="125" t="s">
        <v>438</v>
      </c>
      <c r="E45" s="125" t="s">
        <v>444</v>
      </c>
      <c r="F45" s="159" t="s">
        <v>1507</v>
      </c>
      <c r="G45" s="124">
        <v>1</v>
      </c>
      <c r="H45" s="124">
        <v>1</v>
      </c>
      <c r="I45" s="51" t="s">
        <v>440</v>
      </c>
      <c r="J45" s="126" t="s">
        <v>707</v>
      </c>
      <c r="K45" s="52" t="s">
        <v>707</v>
      </c>
      <c r="L45" s="133" t="s">
        <v>795</v>
      </c>
      <c r="M45" s="26" t="s">
        <v>707</v>
      </c>
      <c r="N45" s="20" t="s">
        <v>389</v>
      </c>
      <c r="O45" s="20" t="s">
        <v>389</v>
      </c>
      <c r="P45" s="20" t="s">
        <v>389</v>
      </c>
      <c r="Q45" s="134" t="s">
        <v>389</v>
      </c>
      <c r="R45" s="25"/>
    </row>
    <row r="46" spans="1:18" ht="30" x14ac:dyDescent="0.25">
      <c r="A46" s="132">
        <v>36</v>
      </c>
      <c r="B46" s="132" t="s">
        <v>400</v>
      </c>
      <c r="C46" s="124">
        <v>1</v>
      </c>
      <c r="D46" s="125" t="s">
        <v>438</v>
      </c>
      <c r="E46" s="125" t="s">
        <v>445</v>
      </c>
      <c r="F46" s="159" t="s">
        <v>1504</v>
      </c>
      <c r="G46" s="124">
        <v>4</v>
      </c>
      <c r="H46" s="124">
        <v>4</v>
      </c>
      <c r="I46" s="51" t="s">
        <v>790</v>
      </c>
      <c r="J46" s="126" t="s">
        <v>707</v>
      </c>
      <c r="K46" s="52" t="s">
        <v>707</v>
      </c>
      <c r="L46" s="133" t="s">
        <v>791</v>
      </c>
      <c r="M46" s="26" t="s">
        <v>707</v>
      </c>
      <c r="N46" s="20" t="s">
        <v>389</v>
      </c>
      <c r="O46" s="20" t="s">
        <v>389</v>
      </c>
      <c r="P46" s="20" t="s">
        <v>389</v>
      </c>
      <c r="Q46" s="134" t="s">
        <v>389</v>
      </c>
      <c r="R46" s="25"/>
    </row>
    <row r="47" spans="1:18" ht="27" x14ac:dyDescent="0.25">
      <c r="A47" s="132">
        <v>37</v>
      </c>
      <c r="B47" s="132" t="s">
        <v>400</v>
      </c>
      <c r="C47" s="124">
        <v>1</v>
      </c>
      <c r="D47" s="125" t="s">
        <v>438</v>
      </c>
      <c r="E47" s="125" t="s">
        <v>446</v>
      </c>
      <c r="F47" s="159" t="s">
        <v>1503</v>
      </c>
      <c r="G47" s="124">
        <v>3</v>
      </c>
      <c r="H47" s="124">
        <v>3</v>
      </c>
      <c r="I47" s="51" t="s">
        <v>788</v>
      </c>
      <c r="J47" s="126" t="s">
        <v>707</v>
      </c>
      <c r="K47" s="52" t="s">
        <v>707</v>
      </c>
      <c r="L47" s="133" t="s">
        <v>789</v>
      </c>
      <c r="M47" s="26" t="s">
        <v>707</v>
      </c>
      <c r="N47" s="20" t="s">
        <v>389</v>
      </c>
      <c r="O47" s="20" t="s">
        <v>389</v>
      </c>
      <c r="P47" s="20" t="s">
        <v>389</v>
      </c>
      <c r="Q47" s="134" t="s">
        <v>389</v>
      </c>
      <c r="R47" s="25"/>
    </row>
    <row r="48" spans="1:18" ht="30" x14ac:dyDescent="0.25">
      <c r="A48" s="132">
        <v>38</v>
      </c>
      <c r="B48" s="132" t="s">
        <v>400</v>
      </c>
      <c r="C48" s="124">
        <v>1</v>
      </c>
      <c r="D48" s="125" t="s">
        <v>438</v>
      </c>
      <c r="E48" s="125" t="s">
        <v>447</v>
      </c>
      <c r="F48" s="159" t="s">
        <v>1502</v>
      </c>
      <c r="G48" s="124">
        <v>9</v>
      </c>
      <c r="H48" s="124">
        <v>9</v>
      </c>
      <c r="I48" s="51" t="s">
        <v>786</v>
      </c>
      <c r="J48" s="126" t="s">
        <v>707</v>
      </c>
      <c r="K48" s="52" t="s">
        <v>707</v>
      </c>
      <c r="L48" s="133" t="s">
        <v>787</v>
      </c>
      <c r="M48" s="26" t="s">
        <v>707</v>
      </c>
      <c r="N48" s="20" t="s">
        <v>389</v>
      </c>
      <c r="O48" s="20" t="s">
        <v>389</v>
      </c>
      <c r="P48" s="20" t="s">
        <v>389</v>
      </c>
      <c r="Q48" s="134" t="s">
        <v>389</v>
      </c>
      <c r="R48" s="25"/>
    </row>
    <row r="49" spans="1:18" ht="30" x14ac:dyDescent="0.25">
      <c r="A49" s="132">
        <v>39</v>
      </c>
      <c r="B49" s="132" t="s">
        <v>400</v>
      </c>
      <c r="C49" s="124">
        <v>1</v>
      </c>
      <c r="D49" s="125" t="s">
        <v>438</v>
      </c>
      <c r="E49" s="125" t="s">
        <v>448</v>
      </c>
      <c r="F49" s="159" t="s">
        <v>1500</v>
      </c>
      <c r="G49" s="124">
        <v>3</v>
      </c>
      <c r="H49" s="124">
        <v>3</v>
      </c>
      <c r="I49" s="51" t="s">
        <v>449</v>
      </c>
      <c r="J49" s="126" t="s">
        <v>707</v>
      </c>
      <c r="K49" s="52" t="s">
        <v>707</v>
      </c>
      <c r="L49" s="133" t="s">
        <v>784</v>
      </c>
      <c r="M49" s="26" t="s">
        <v>707</v>
      </c>
      <c r="N49" s="20" t="s">
        <v>389</v>
      </c>
      <c r="O49" s="20" t="s">
        <v>389</v>
      </c>
      <c r="P49" s="20" t="s">
        <v>389</v>
      </c>
      <c r="Q49" s="134" t="s">
        <v>389</v>
      </c>
      <c r="R49" s="25"/>
    </row>
    <row r="50" spans="1:18" ht="27" x14ac:dyDescent="0.25">
      <c r="A50" s="132">
        <v>40</v>
      </c>
      <c r="B50" s="132" t="s">
        <v>400</v>
      </c>
      <c r="C50" s="124">
        <v>1</v>
      </c>
      <c r="D50" s="125" t="s">
        <v>438</v>
      </c>
      <c r="E50" s="125" t="s">
        <v>450</v>
      </c>
      <c r="F50" s="159" t="s">
        <v>1505</v>
      </c>
      <c r="G50" s="124">
        <v>3</v>
      </c>
      <c r="H50" s="124">
        <v>3</v>
      </c>
      <c r="I50" s="51" t="s">
        <v>792</v>
      </c>
      <c r="J50" s="126" t="s">
        <v>707</v>
      </c>
      <c r="K50" s="52" t="s">
        <v>707</v>
      </c>
      <c r="L50" s="133" t="s">
        <v>793</v>
      </c>
      <c r="M50" s="26" t="s">
        <v>707</v>
      </c>
      <c r="N50" s="20" t="s">
        <v>389</v>
      </c>
      <c r="O50" s="20" t="s">
        <v>389</v>
      </c>
      <c r="P50" s="20" t="s">
        <v>389</v>
      </c>
      <c r="Q50" s="134" t="s">
        <v>389</v>
      </c>
      <c r="R50" s="25"/>
    </row>
    <row r="51" spans="1:18" x14ac:dyDescent="0.25">
      <c r="A51" s="132">
        <v>41</v>
      </c>
      <c r="B51" s="132" t="s">
        <v>400</v>
      </c>
      <c r="C51" s="124">
        <v>1</v>
      </c>
      <c r="D51" s="125" t="s">
        <v>41</v>
      </c>
      <c r="E51" s="125" t="s">
        <v>451</v>
      </c>
      <c r="F51" s="159" t="s">
        <v>1511</v>
      </c>
      <c r="G51" s="124">
        <v>2</v>
      </c>
      <c r="H51" s="124">
        <v>2</v>
      </c>
      <c r="I51" s="51" t="s">
        <v>452</v>
      </c>
      <c r="J51" s="126" t="s">
        <v>707</v>
      </c>
      <c r="K51" s="52" t="s">
        <v>707</v>
      </c>
      <c r="L51" s="133" t="s">
        <v>799</v>
      </c>
      <c r="M51" s="26" t="s">
        <v>1150</v>
      </c>
      <c r="N51" s="20" t="s">
        <v>715</v>
      </c>
      <c r="O51" s="20" t="s">
        <v>389</v>
      </c>
      <c r="P51" s="20" t="s">
        <v>389</v>
      </c>
      <c r="Q51" s="134" t="s">
        <v>389</v>
      </c>
      <c r="R51" s="25"/>
    </row>
    <row r="52" spans="1:18" x14ac:dyDescent="0.25">
      <c r="A52" s="132">
        <v>42</v>
      </c>
      <c r="B52" s="132" t="s">
        <v>400</v>
      </c>
      <c r="C52" s="124">
        <v>1</v>
      </c>
      <c r="D52" s="125" t="s">
        <v>41</v>
      </c>
      <c r="E52" s="125" t="s">
        <v>453</v>
      </c>
      <c r="F52" s="159" t="s">
        <v>1510</v>
      </c>
      <c r="G52" s="124">
        <v>2</v>
      </c>
      <c r="H52" s="124">
        <v>0</v>
      </c>
      <c r="I52" s="51" t="s">
        <v>452</v>
      </c>
      <c r="J52" s="126" t="s">
        <v>707</v>
      </c>
      <c r="K52" s="52" t="s">
        <v>707</v>
      </c>
      <c r="L52" s="133" t="s">
        <v>798</v>
      </c>
      <c r="M52" s="26" t="s">
        <v>707</v>
      </c>
      <c r="N52" s="20" t="s">
        <v>389</v>
      </c>
      <c r="O52" s="20" t="s">
        <v>389</v>
      </c>
      <c r="P52" s="20" t="s">
        <v>389</v>
      </c>
      <c r="Q52" s="134" t="s">
        <v>389</v>
      </c>
      <c r="R52" s="25"/>
    </row>
    <row r="53" spans="1:18" ht="27" x14ac:dyDescent="0.25">
      <c r="A53" s="132">
        <v>43</v>
      </c>
      <c r="B53" s="132" t="s">
        <v>400</v>
      </c>
      <c r="C53" s="124">
        <v>1</v>
      </c>
      <c r="D53" s="125" t="s">
        <v>454</v>
      </c>
      <c r="E53" s="125" t="s">
        <v>455</v>
      </c>
      <c r="F53" s="159" t="s">
        <v>1512</v>
      </c>
      <c r="G53" s="124">
        <v>1</v>
      </c>
      <c r="H53" s="124">
        <v>1</v>
      </c>
      <c r="I53" s="51" t="s">
        <v>405</v>
      </c>
      <c r="J53" s="126" t="s">
        <v>707</v>
      </c>
      <c r="K53" s="52" t="s">
        <v>707</v>
      </c>
      <c r="L53" s="133" t="s">
        <v>800</v>
      </c>
      <c r="M53" s="26" t="s">
        <v>707</v>
      </c>
      <c r="N53" s="20" t="s">
        <v>389</v>
      </c>
      <c r="O53" s="20" t="s">
        <v>389</v>
      </c>
      <c r="P53" s="20" t="s">
        <v>389</v>
      </c>
      <c r="Q53" s="134" t="s">
        <v>389</v>
      </c>
      <c r="R53" s="25"/>
    </row>
    <row r="54" spans="1:18" ht="40.5" x14ac:dyDescent="0.25">
      <c r="A54" s="132">
        <v>44</v>
      </c>
      <c r="B54" s="132" t="s">
        <v>400</v>
      </c>
      <c r="C54" s="124">
        <v>1</v>
      </c>
      <c r="D54" s="125" t="s">
        <v>137</v>
      </c>
      <c r="E54" s="125">
        <v>1159045</v>
      </c>
      <c r="F54" s="159" t="s">
        <v>1513</v>
      </c>
      <c r="G54" s="124">
        <v>1</v>
      </c>
      <c r="H54" s="124">
        <v>1</v>
      </c>
      <c r="I54" s="51" t="s">
        <v>138</v>
      </c>
      <c r="J54" s="126" t="s">
        <v>707</v>
      </c>
      <c r="K54" s="52" t="s">
        <v>707</v>
      </c>
      <c r="L54" s="133" t="s">
        <v>801</v>
      </c>
      <c r="M54" s="26" t="s">
        <v>707</v>
      </c>
      <c r="N54" s="20" t="s">
        <v>389</v>
      </c>
      <c r="O54" s="20" t="s">
        <v>389</v>
      </c>
      <c r="P54" s="20" t="s">
        <v>715</v>
      </c>
      <c r="Q54" s="134" t="s">
        <v>389</v>
      </c>
      <c r="R54" s="25"/>
    </row>
    <row r="55" spans="1:18" ht="27" x14ac:dyDescent="0.25">
      <c r="A55" s="132">
        <v>45</v>
      </c>
      <c r="B55" s="132" t="s">
        <v>400</v>
      </c>
      <c r="C55" s="124">
        <v>1</v>
      </c>
      <c r="D55" s="125" t="s">
        <v>137</v>
      </c>
      <c r="E55" s="125">
        <v>2910386</v>
      </c>
      <c r="F55" s="159" t="s">
        <v>1526</v>
      </c>
      <c r="G55" s="124">
        <v>1</v>
      </c>
      <c r="H55" s="124">
        <v>1</v>
      </c>
      <c r="I55" s="51" t="s">
        <v>456</v>
      </c>
      <c r="J55" s="126" t="s">
        <v>707</v>
      </c>
      <c r="K55" s="52" t="s">
        <v>707</v>
      </c>
      <c r="L55" s="133" t="s">
        <v>812</v>
      </c>
      <c r="M55" s="26" t="s">
        <v>707</v>
      </c>
      <c r="N55" s="20" t="s">
        <v>715</v>
      </c>
      <c r="O55" s="20" t="s">
        <v>715</v>
      </c>
      <c r="P55" s="20" t="s">
        <v>715</v>
      </c>
      <c r="Q55" s="134" t="s">
        <v>389</v>
      </c>
      <c r="R55" s="25"/>
    </row>
    <row r="56" spans="1:18" ht="67.5" x14ac:dyDescent="0.25">
      <c r="A56" s="132">
        <v>46</v>
      </c>
      <c r="B56" s="132" t="s">
        <v>400</v>
      </c>
      <c r="C56" s="124">
        <v>1</v>
      </c>
      <c r="D56" s="125" t="s">
        <v>137</v>
      </c>
      <c r="E56" s="125">
        <v>2905743</v>
      </c>
      <c r="F56" s="159" t="s">
        <v>1525</v>
      </c>
      <c r="G56" s="124">
        <v>9</v>
      </c>
      <c r="H56" s="124">
        <v>9</v>
      </c>
      <c r="I56" s="51" t="s">
        <v>457</v>
      </c>
      <c r="J56" s="126" t="s">
        <v>707</v>
      </c>
      <c r="K56" s="52" t="s">
        <v>707</v>
      </c>
      <c r="L56" s="133" t="s">
        <v>1092</v>
      </c>
      <c r="M56" s="26" t="s">
        <v>707</v>
      </c>
      <c r="N56" s="20" t="s">
        <v>715</v>
      </c>
      <c r="O56" s="20" t="s">
        <v>715</v>
      </c>
      <c r="P56" s="20" t="s">
        <v>715</v>
      </c>
      <c r="Q56" s="134" t="s">
        <v>389</v>
      </c>
      <c r="R56" s="25"/>
    </row>
    <row r="57" spans="1:18" ht="121.5" x14ac:dyDescent="0.25">
      <c r="A57" s="132">
        <v>47</v>
      </c>
      <c r="B57" s="132" t="s">
        <v>400</v>
      </c>
      <c r="C57" s="124">
        <v>1</v>
      </c>
      <c r="D57" s="125" t="s">
        <v>137</v>
      </c>
      <c r="E57" s="125">
        <v>1683002</v>
      </c>
      <c r="F57" s="159" t="s">
        <v>1522</v>
      </c>
      <c r="G57" s="124">
        <v>18</v>
      </c>
      <c r="H57" s="124">
        <v>18</v>
      </c>
      <c r="I57" s="51" t="s">
        <v>809</v>
      </c>
      <c r="J57" s="126" t="s">
        <v>707</v>
      </c>
      <c r="K57" s="52" t="s">
        <v>707</v>
      </c>
      <c r="L57" s="133" t="s">
        <v>1523</v>
      </c>
      <c r="M57" s="26" t="s">
        <v>707</v>
      </c>
      <c r="N57" s="20" t="s">
        <v>389</v>
      </c>
      <c r="O57" s="20" t="s">
        <v>389</v>
      </c>
      <c r="P57" s="20" t="s">
        <v>389</v>
      </c>
      <c r="Q57" s="134" t="s">
        <v>389</v>
      </c>
      <c r="R57" s="25"/>
    </row>
    <row r="58" spans="1:18" ht="105" x14ac:dyDescent="0.25">
      <c r="A58" s="132">
        <v>48</v>
      </c>
      <c r="B58" s="132" t="s">
        <v>400</v>
      </c>
      <c r="C58" s="124">
        <v>1</v>
      </c>
      <c r="D58" s="125" t="s">
        <v>137</v>
      </c>
      <c r="E58" s="125">
        <v>1500716</v>
      </c>
      <c r="F58" s="159" t="s">
        <v>1518</v>
      </c>
      <c r="G58" s="124">
        <v>13</v>
      </c>
      <c r="H58" s="124">
        <v>13</v>
      </c>
      <c r="I58" s="51" t="s">
        <v>804</v>
      </c>
      <c r="J58" s="126" t="s">
        <v>707</v>
      </c>
      <c r="K58" s="52" t="s">
        <v>707</v>
      </c>
      <c r="L58" s="133" t="s">
        <v>805</v>
      </c>
      <c r="M58" s="26" t="s">
        <v>707</v>
      </c>
      <c r="N58" s="20" t="s">
        <v>389</v>
      </c>
      <c r="O58" s="20" t="s">
        <v>389</v>
      </c>
      <c r="P58" s="20" t="s">
        <v>389</v>
      </c>
      <c r="Q58" s="134" t="s">
        <v>389</v>
      </c>
      <c r="R58" s="25"/>
    </row>
    <row r="59" spans="1:18" ht="40.5" x14ac:dyDescent="0.25">
      <c r="A59" s="132">
        <v>49</v>
      </c>
      <c r="B59" s="132" t="s">
        <v>400</v>
      </c>
      <c r="C59" s="124">
        <v>1</v>
      </c>
      <c r="D59" s="125" t="s">
        <v>137</v>
      </c>
      <c r="E59" s="125">
        <v>1522891</v>
      </c>
      <c r="F59" s="159" t="s">
        <v>1521</v>
      </c>
      <c r="G59" s="124">
        <v>2</v>
      </c>
      <c r="H59" s="124">
        <v>2</v>
      </c>
      <c r="I59" s="51" t="s">
        <v>452</v>
      </c>
      <c r="J59" s="126" t="s">
        <v>707</v>
      </c>
      <c r="K59" s="52" t="s">
        <v>707</v>
      </c>
      <c r="L59" s="133" t="s">
        <v>808</v>
      </c>
      <c r="M59" s="26" t="s">
        <v>707</v>
      </c>
      <c r="N59" s="20" t="s">
        <v>389</v>
      </c>
      <c r="O59" s="20" t="s">
        <v>389</v>
      </c>
      <c r="P59" s="20" t="s">
        <v>389</v>
      </c>
      <c r="Q59" s="134" t="s">
        <v>389</v>
      </c>
      <c r="R59" s="25"/>
    </row>
    <row r="60" spans="1:18" ht="40.5" x14ac:dyDescent="0.25">
      <c r="A60" s="132">
        <v>50</v>
      </c>
      <c r="B60" s="132" t="s">
        <v>400</v>
      </c>
      <c r="C60" s="124">
        <v>1</v>
      </c>
      <c r="D60" s="125" t="s">
        <v>137</v>
      </c>
      <c r="E60" s="125">
        <v>1520372</v>
      </c>
      <c r="F60" s="159" t="s">
        <v>1520</v>
      </c>
      <c r="G60" s="124">
        <v>1</v>
      </c>
      <c r="H60" s="124">
        <v>1</v>
      </c>
      <c r="I60" s="51" t="s">
        <v>768</v>
      </c>
      <c r="J60" s="126" t="s">
        <v>707</v>
      </c>
      <c r="K60" s="52" t="s">
        <v>707</v>
      </c>
      <c r="L60" s="133" t="s">
        <v>807</v>
      </c>
      <c r="M60" s="26" t="s">
        <v>707</v>
      </c>
      <c r="N60" s="20" t="s">
        <v>389</v>
      </c>
      <c r="O60" s="20" t="s">
        <v>389</v>
      </c>
      <c r="P60" s="20" t="s">
        <v>389</v>
      </c>
      <c r="Q60" s="134" t="s">
        <v>389</v>
      </c>
      <c r="R60" s="25"/>
    </row>
    <row r="61" spans="1:18" ht="60" x14ac:dyDescent="0.25">
      <c r="A61" s="132">
        <v>51</v>
      </c>
      <c r="B61" s="132" t="s">
        <v>400</v>
      </c>
      <c r="C61" s="124">
        <v>1</v>
      </c>
      <c r="D61" s="125" t="s">
        <v>137</v>
      </c>
      <c r="E61" s="125">
        <v>1439492</v>
      </c>
      <c r="F61" s="159" t="s">
        <v>1517</v>
      </c>
      <c r="G61" s="124">
        <v>8</v>
      </c>
      <c r="H61" s="124">
        <v>8</v>
      </c>
      <c r="I61" s="51" t="s">
        <v>458</v>
      </c>
      <c r="J61" s="126" t="s">
        <v>707</v>
      </c>
      <c r="K61" s="52" t="s">
        <v>707</v>
      </c>
      <c r="L61" s="133" t="s">
        <v>803</v>
      </c>
      <c r="M61" s="26" t="s">
        <v>707</v>
      </c>
      <c r="N61" s="20" t="s">
        <v>389</v>
      </c>
      <c r="O61" s="20" t="s">
        <v>389</v>
      </c>
      <c r="P61" s="20" t="s">
        <v>389</v>
      </c>
      <c r="Q61" s="134" t="s">
        <v>389</v>
      </c>
      <c r="R61" s="25"/>
    </row>
    <row r="62" spans="1:18" ht="30" x14ac:dyDescent="0.25">
      <c r="A62" s="132">
        <v>52</v>
      </c>
      <c r="B62" s="132" t="s">
        <v>400</v>
      </c>
      <c r="C62" s="124">
        <v>1</v>
      </c>
      <c r="D62" s="125" t="s">
        <v>137</v>
      </c>
      <c r="E62" s="125">
        <v>1406167</v>
      </c>
      <c r="F62" s="159" t="s">
        <v>1515</v>
      </c>
      <c r="G62" s="124">
        <v>2</v>
      </c>
      <c r="H62" s="124">
        <v>2</v>
      </c>
      <c r="I62" s="51" t="s">
        <v>767</v>
      </c>
      <c r="J62" s="126" t="s">
        <v>707</v>
      </c>
      <c r="K62" s="52" t="s">
        <v>707</v>
      </c>
      <c r="L62" s="133" t="s">
        <v>1516</v>
      </c>
      <c r="M62" s="26" t="s">
        <v>707</v>
      </c>
      <c r="N62" s="20" t="s">
        <v>389</v>
      </c>
      <c r="O62" s="20" t="s">
        <v>389</v>
      </c>
      <c r="P62" s="20" t="s">
        <v>389</v>
      </c>
      <c r="Q62" s="134" t="s">
        <v>389</v>
      </c>
      <c r="R62" s="25"/>
    </row>
    <row r="63" spans="1:18" ht="40.5" x14ac:dyDescent="0.25">
      <c r="A63" s="132">
        <v>53</v>
      </c>
      <c r="B63" s="132" t="s">
        <v>400</v>
      </c>
      <c r="C63" s="124">
        <v>1</v>
      </c>
      <c r="D63" s="125" t="s">
        <v>137</v>
      </c>
      <c r="E63" s="125">
        <v>1500758</v>
      </c>
      <c r="F63" s="159" t="s">
        <v>1519</v>
      </c>
      <c r="G63" s="124">
        <v>2</v>
      </c>
      <c r="H63" s="124">
        <v>2</v>
      </c>
      <c r="I63" s="51" t="s">
        <v>424</v>
      </c>
      <c r="J63" s="126" t="s">
        <v>707</v>
      </c>
      <c r="K63" s="52" t="s">
        <v>707</v>
      </c>
      <c r="L63" s="133" t="s">
        <v>806</v>
      </c>
      <c r="M63" s="26" t="s">
        <v>707</v>
      </c>
      <c r="N63" s="20" t="s">
        <v>389</v>
      </c>
      <c r="O63" s="20" t="s">
        <v>389</v>
      </c>
      <c r="P63" s="20" t="s">
        <v>389</v>
      </c>
      <c r="Q63" s="134" t="s">
        <v>389</v>
      </c>
      <c r="R63" s="25"/>
    </row>
    <row r="64" spans="1:18" ht="54" x14ac:dyDescent="0.25">
      <c r="A64" s="132">
        <v>54</v>
      </c>
      <c r="B64" s="132" t="s">
        <v>400</v>
      </c>
      <c r="C64" s="124">
        <v>1</v>
      </c>
      <c r="D64" s="125" t="s">
        <v>137</v>
      </c>
      <c r="E64" s="125">
        <v>1694101</v>
      </c>
      <c r="F64" s="159" t="s">
        <v>1524</v>
      </c>
      <c r="G64" s="124">
        <v>8</v>
      </c>
      <c r="H64" s="124">
        <v>8</v>
      </c>
      <c r="I64" s="51" t="s">
        <v>810</v>
      </c>
      <c r="J64" s="126" t="s">
        <v>707</v>
      </c>
      <c r="K64" s="52" t="s">
        <v>707</v>
      </c>
      <c r="L64" s="133" t="s">
        <v>811</v>
      </c>
      <c r="M64" s="26" t="s">
        <v>707</v>
      </c>
      <c r="N64" s="20" t="s">
        <v>389</v>
      </c>
      <c r="O64" s="20" t="s">
        <v>389</v>
      </c>
      <c r="P64" s="20" t="s">
        <v>389</v>
      </c>
      <c r="Q64" s="134" t="s">
        <v>389</v>
      </c>
      <c r="R64" s="25"/>
    </row>
    <row r="65" spans="1:18" ht="40.5" x14ac:dyDescent="0.25">
      <c r="A65" s="132">
        <v>55</v>
      </c>
      <c r="B65" s="132" t="s">
        <v>400</v>
      </c>
      <c r="C65" s="124">
        <v>1</v>
      </c>
      <c r="D65" s="125" t="s">
        <v>137</v>
      </c>
      <c r="E65" s="125">
        <v>1400899</v>
      </c>
      <c r="F65" s="159" t="s">
        <v>1514</v>
      </c>
      <c r="G65" s="124">
        <v>3</v>
      </c>
      <c r="H65" s="124">
        <v>3</v>
      </c>
      <c r="I65" s="51" t="s">
        <v>459</v>
      </c>
      <c r="J65" s="126" t="s">
        <v>707</v>
      </c>
      <c r="K65" s="52" t="s">
        <v>707</v>
      </c>
      <c r="L65" s="133" t="s">
        <v>802</v>
      </c>
      <c r="M65" s="26" t="s">
        <v>707</v>
      </c>
      <c r="N65" s="20" t="s">
        <v>389</v>
      </c>
      <c r="O65" s="20" t="s">
        <v>389</v>
      </c>
      <c r="P65" s="20" t="s">
        <v>389</v>
      </c>
      <c r="Q65" s="134" t="s">
        <v>389</v>
      </c>
      <c r="R65" s="25"/>
    </row>
    <row r="66" spans="1:18" ht="40.5" x14ac:dyDescent="0.25">
      <c r="A66" s="132">
        <v>56</v>
      </c>
      <c r="B66" s="132" t="s">
        <v>400</v>
      </c>
      <c r="C66" s="124">
        <v>1</v>
      </c>
      <c r="D66" s="125" t="s">
        <v>14</v>
      </c>
      <c r="E66" s="125" t="s">
        <v>460</v>
      </c>
      <c r="F66" s="159" t="s">
        <v>1576</v>
      </c>
      <c r="G66" s="124">
        <v>2</v>
      </c>
      <c r="H66" s="124">
        <v>2</v>
      </c>
      <c r="I66" s="51" t="s">
        <v>461</v>
      </c>
      <c r="J66" s="126" t="s">
        <v>707</v>
      </c>
      <c r="K66" s="52" t="s">
        <v>707</v>
      </c>
      <c r="L66" s="133" t="s">
        <v>894</v>
      </c>
      <c r="M66" s="26" t="s">
        <v>707</v>
      </c>
      <c r="N66" s="20" t="s">
        <v>389</v>
      </c>
      <c r="O66" s="20" t="s">
        <v>389</v>
      </c>
      <c r="P66" s="20" t="s">
        <v>389</v>
      </c>
      <c r="Q66" s="134" t="s">
        <v>389</v>
      </c>
      <c r="R66" s="25" t="s">
        <v>1120</v>
      </c>
    </row>
    <row r="67" spans="1:18" ht="54" x14ac:dyDescent="0.25">
      <c r="A67" s="132">
        <v>57</v>
      </c>
      <c r="B67" s="132" t="s">
        <v>400</v>
      </c>
      <c r="C67" s="124">
        <v>1</v>
      </c>
      <c r="D67" s="125" t="s">
        <v>14</v>
      </c>
      <c r="E67" s="125" t="s">
        <v>87</v>
      </c>
      <c r="F67" s="159" t="s">
        <v>1577</v>
      </c>
      <c r="G67" s="124">
        <v>2</v>
      </c>
      <c r="H67" s="124">
        <v>2</v>
      </c>
      <c r="I67" s="51" t="s">
        <v>461</v>
      </c>
      <c r="J67" s="126" t="s">
        <v>707</v>
      </c>
      <c r="K67" s="52" t="s">
        <v>707</v>
      </c>
      <c r="L67" s="133" t="s">
        <v>895</v>
      </c>
      <c r="M67" s="26" t="s">
        <v>1118</v>
      </c>
      <c r="N67" s="20" t="s">
        <v>389</v>
      </c>
      <c r="O67" s="20" t="s">
        <v>389</v>
      </c>
      <c r="P67" s="20" t="s">
        <v>389</v>
      </c>
      <c r="Q67" s="134" t="s">
        <v>389</v>
      </c>
      <c r="R67" s="25" t="s">
        <v>1119</v>
      </c>
    </row>
    <row r="68" spans="1:18" ht="27" x14ac:dyDescent="0.25">
      <c r="A68" s="132">
        <v>58</v>
      </c>
      <c r="B68" s="132" t="s">
        <v>400</v>
      </c>
      <c r="C68" s="124">
        <v>1</v>
      </c>
      <c r="D68" s="125" t="s">
        <v>14</v>
      </c>
      <c r="E68" s="125" t="s">
        <v>131</v>
      </c>
      <c r="F68" s="159" t="s">
        <v>1535</v>
      </c>
      <c r="G68" s="124">
        <v>2</v>
      </c>
      <c r="H68" s="124">
        <v>2</v>
      </c>
      <c r="I68" s="51" t="s">
        <v>462</v>
      </c>
      <c r="J68" s="126" t="s">
        <v>707</v>
      </c>
      <c r="K68" s="52" t="s">
        <v>707</v>
      </c>
      <c r="L68" s="133" t="s">
        <v>822</v>
      </c>
      <c r="M68" s="26"/>
      <c r="N68" s="20" t="s">
        <v>389</v>
      </c>
      <c r="O68" s="20" t="s">
        <v>715</v>
      </c>
      <c r="P68" s="20" t="s">
        <v>715</v>
      </c>
      <c r="Q68" s="134" t="s">
        <v>389</v>
      </c>
      <c r="R68" s="25"/>
    </row>
    <row r="69" spans="1:18" ht="30" x14ac:dyDescent="0.25">
      <c r="A69" s="132">
        <v>59</v>
      </c>
      <c r="B69" s="132" t="s">
        <v>400</v>
      </c>
      <c r="C69" s="124">
        <v>1</v>
      </c>
      <c r="D69" s="125" t="s">
        <v>14</v>
      </c>
      <c r="E69" s="125" t="s">
        <v>463</v>
      </c>
      <c r="F69" s="159" t="s">
        <v>1531</v>
      </c>
      <c r="G69" s="124">
        <v>3</v>
      </c>
      <c r="H69" s="124">
        <v>3</v>
      </c>
      <c r="I69" s="51" t="s">
        <v>817</v>
      </c>
      <c r="J69" s="126" t="s">
        <v>707</v>
      </c>
      <c r="K69" s="52" t="s">
        <v>707</v>
      </c>
      <c r="L69" s="133" t="s">
        <v>818</v>
      </c>
      <c r="M69" s="26"/>
      <c r="N69" s="20" t="s">
        <v>389</v>
      </c>
      <c r="O69" s="20" t="s">
        <v>389</v>
      </c>
      <c r="P69" s="20" t="s">
        <v>389</v>
      </c>
      <c r="Q69" s="134" t="s">
        <v>389</v>
      </c>
      <c r="R69" s="25"/>
    </row>
    <row r="70" spans="1:18" ht="40.5" x14ac:dyDescent="0.25">
      <c r="A70" s="132">
        <v>60</v>
      </c>
      <c r="B70" s="132" t="s">
        <v>400</v>
      </c>
      <c r="C70" s="124">
        <v>1</v>
      </c>
      <c r="D70" s="125" t="s">
        <v>14</v>
      </c>
      <c r="E70" s="125" t="s">
        <v>464</v>
      </c>
      <c r="F70" s="159" t="s">
        <v>1532</v>
      </c>
      <c r="G70" s="124">
        <v>12</v>
      </c>
      <c r="H70" s="124">
        <v>12</v>
      </c>
      <c r="I70" s="51" t="s">
        <v>465</v>
      </c>
      <c r="J70" s="126" t="s">
        <v>707</v>
      </c>
      <c r="K70" s="52" t="s">
        <v>707</v>
      </c>
      <c r="L70" s="133" t="s">
        <v>819</v>
      </c>
      <c r="M70" s="26" t="s">
        <v>707</v>
      </c>
      <c r="N70" s="20" t="s">
        <v>389</v>
      </c>
      <c r="O70" s="20" t="s">
        <v>389</v>
      </c>
      <c r="P70" s="20" t="s">
        <v>389</v>
      </c>
      <c r="Q70" s="134" t="s">
        <v>389</v>
      </c>
      <c r="R70" s="25"/>
    </row>
    <row r="71" spans="1:18" ht="40.5" x14ac:dyDescent="0.25">
      <c r="A71" s="132">
        <v>61</v>
      </c>
      <c r="B71" s="132" t="s">
        <v>400</v>
      </c>
      <c r="C71" s="124">
        <v>1</v>
      </c>
      <c r="D71" s="125" t="s">
        <v>14</v>
      </c>
      <c r="E71" s="125" t="s">
        <v>466</v>
      </c>
      <c r="F71" s="159" t="s">
        <v>1530</v>
      </c>
      <c r="G71" s="124">
        <v>6</v>
      </c>
      <c r="H71" s="124">
        <v>6</v>
      </c>
      <c r="I71" s="51" t="s">
        <v>465</v>
      </c>
      <c r="J71" s="126" t="s">
        <v>707</v>
      </c>
      <c r="K71" s="52" t="s">
        <v>707</v>
      </c>
      <c r="L71" s="133" t="s">
        <v>816</v>
      </c>
      <c r="M71" s="26" t="s">
        <v>707</v>
      </c>
      <c r="N71" s="20" t="s">
        <v>389</v>
      </c>
      <c r="O71" s="20" t="s">
        <v>389</v>
      </c>
      <c r="P71" s="20" t="s">
        <v>715</v>
      </c>
      <c r="Q71" s="134" t="s">
        <v>389</v>
      </c>
      <c r="R71" s="25"/>
    </row>
    <row r="72" spans="1:18" x14ac:dyDescent="0.25">
      <c r="A72" s="132">
        <v>62</v>
      </c>
      <c r="B72" s="132" t="s">
        <v>400</v>
      </c>
      <c r="C72" s="124">
        <v>1</v>
      </c>
      <c r="D72" s="125" t="s">
        <v>14</v>
      </c>
      <c r="E72" s="125" t="s">
        <v>467</v>
      </c>
      <c r="F72" s="159" t="s">
        <v>1561</v>
      </c>
      <c r="G72" s="124">
        <v>1</v>
      </c>
      <c r="H72" s="124">
        <v>1</v>
      </c>
      <c r="I72" s="51" t="s">
        <v>468</v>
      </c>
      <c r="J72" s="126" t="s">
        <v>707</v>
      </c>
      <c r="K72" s="52" t="s">
        <v>707</v>
      </c>
      <c r="L72" s="133" t="s">
        <v>851</v>
      </c>
      <c r="M72" s="26" t="s">
        <v>707</v>
      </c>
      <c r="N72" s="20" t="s">
        <v>389</v>
      </c>
      <c r="O72" s="20" t="s">
        <v>389</v>
      </c>
      <c r="P72" s="20" t="s">
        <v>389</v>
      </c>
      <c r="Q72" s="134" t="s">
        <v>389</v>
      </c>
      <c r="R72" s="25"/>
    </row>
    <row r="73" spans="1:18" x14ac:dyDescent="0.25">
      <c r="A73" s="132">
        <v>63</v>
      </c>
      <c r="B73" s="132" t="s">
        <v>400</v>
      </c>
      <c r="C73" s="124">
        <v>1</v>
      </c>
      <c r="D73" s="125" t="s">
        <v>14</v>
      </c>
      <c r="E73" s="125" t="s">
        <v>469</v>
      </c>
      <c r="F73" s="159" t="s">
        <v>1565</v>
      </c>
      <c r="G73" s="124">
        <v>1</v>
      </c>
      <c r="H73" s="124">
        <v>1</v>
      </c>
      <c r="I73" s="51" t="s">
        <v>468</v>
      </c>
      <c r="J73" s="126" t="s">
        <v>707</v>
      </c>
      <c r="K73" s="52" t="s">
        <v>707</v>
      </c>
      <c r="L73" s="133" t="s">
        <v>855</v>
      </c>
      <c r="M73" s="26" t="s">
        <v>707</v>
      </c>
      <c r="N73" s="20" t="s">
        <v>389</v>
      </c>
      <c r="O73" s="20" t="s">
        <v>389</v>
      </c>
      <c r="P73" s="20" t="s">
        <v>715</v>
      </c>
      <c r="Q73" s="134" t="s">
        <v>389</v>
      </c>
      <c r="R73" s="25"/>
    </row>
    <row r="74" spans="1:18" ht="40.5" x14ac:dyDescent="0.25">
      <c r="A74" s="132">
        <v>64</v>
      </c>
      <c r="B74" s="132" t="s">
        <v>400</v>
      </c>
      <c r="C74" s="124">
        <v>1</v>
      </c>
      <c r="D74" s="125" t="s">
        <v>14</v>
      </c>
      <c r="E74" s="125" t="s">
        <v>470</v>
      </c>
      <c r="F74" s="159" t="s">
        <v>1563</v>
      </c>
      <c r="G74" s="124">
        <v>1</v>
      </c>
      <c r="H74" s="124">
        <v>1</v>
      </c>
      <c r="I74" s="51" t="s">
        <v>471</v>
      </c>
      <c r="J74" s="126" t="s">
        <v>707</v>
      </c>
      <c r="K74" s="52" t="s">
        <v>707</v>
      </c>
      <c r="L74" s="133" t="s">
        <v>853</v>
      </c>
      <c r="M74" s="26" t="s">
        <v>707</v>
      </c>
      <c r="N74" s="20" t="s">
        <v>389</v>
      </c>
      <c r="O74" s="20" t="s">
        <v>389</v>
      </c>
      <c r="P74" s="20" t="s">
        <v>715</v>
      </c>
      <c r="Q74" s="134" t="s">
        <v>389</v>
      </c>
      <c r="R74" s="25"/>
    </row>
    <row r="75" spans="1:18" ht="27" x14ac:dyDescent="0.25">
      <c r="A75" s="132">
        <v>65</v>
      </c>
      <c r="B75" s="132" t="s">
        <v>400</v>
      </c>
      <c r="C75" s="124">
        <v>1</v>
      </c>
      <c r="D75" s="125" t="s">
        <v>14</v>
      </c>
      <c r="E75" s="125" t="s">
        <v>472</v>
      </c>
      <c r="F75" s="159" t="s">
        <v>1562</v>
      </c>
      <c r="G75" s="124">
        <v>2</v>
      </c>
      <c r="H75" s="124">
        <v>2</v>
      </c>
      <c r="I75" s="51" t="s">
        <v>710</v>
      </c>
      <c r="J75" s="126" t="s">
        <v>707</v>
      </c>
      <c r="K75" s="52" t="s">
        <v>707</v>
      </c>
      <c r="L75" s="133" t="s">
        <v>852</v>
      </c>
      <c r="M75" s="26" t="s">
        <v>707</v>
      </c>
      <c r="N75" s="20" t="s">
        <v>389</v>
      </c>
      <c r="O75" s="20" t="s">
        <v>389</v>
      </c>
      <c r="P75" s="20" t="s">
        <v>715</v>
      </c>
      <c r="Q75" s="134" t="s">
        <v>389</v>
      </c>
      <c r="R75" s="25"/>
    </row>
    <row r="76" spans="1:18" x14ac:dyDescent="0.25">
      <c r="A76" s="132">
        <v>66</v>
      </c>
      <c r="B76" s="132" t="s">
        <v>400</v>
      </c>
      <c r="C76" s="124">
        <v>1</v>
      </c>
      <c r="D76" s="125" t="s">
        <v>14</v>
      </c>
      <c r="E76" s="125" t="s">
        <v>474</v>
      </c>
      <c r="F76" s="159" t="s">
        <v>1564</v>
      </c>
      <c r="G76" s="124">
        <v>1</v>
      </c>
      <c r="H76" s="124">
        <v>1</v>
      </c>
      <c r="I76" s="51" t="s">
        <v>475</v>
      </c>
      <c r="J76" s="126" t="s">
        <v>707</v>
      </c>
      <c r="K76" s="52" t="s">
        <v>707</v>
      </c>
      <c r="L76" s="133" t="s">
        <v>854</v>
      </c>
      <c r="M76" s="26" t="s">
        <v>707</v>
      </c>
      <c r="N76" s="20" t="s">
        <v>389</v>
      </c>
      <c r="O76" s="20" t="s">
        <v>389</v>
      </c>
      <c r="P76" s="20" t="s">
        <v>389</v>
      </c>
      <c r="Q76" s="134" t="s">
        <v>389</v>
      </c>
      <c r="R76" s="25"/>
    </row>
    <row r="77" spans="1:18" ht="120" x14ac:dyDescent="0.25">
      <c r="A77" s="132">
        <v>67</v>
      </c>
      <c r="B77" s="132" t="s">
        <v>400</v>
      </c>
      <c r="C77" s="124">
        <v>1</v>
      </c>
      <c r="D77" s="125" t="s">
        <v>14</v>
      </c>
      <c r="E77" s="125" t="s">
        <v>476</v>
      </c>
      <c r="F77" s="159" t="s">
        <v>1567</v>
      </c>
      <c r="G77" s="124">
        <v>7</v>
      </c>
      <c r="H77" s="124">
        <v>7</v>
      </c>
      <c r="I77" s="51" t="s">
        <v>477</v>
      </c>
      <c r="J77" s="126" t="s">
        <v>707</v>
      </c>
      <c r="K77" s="52" t="s">
        <v>707</v>
      </c>
      <c r="L77" s="133" t="s">
        <v>857</v>
      </c>
      <c r="M77" s="26" t="s">
        <v>707</v>
      </c>
      <c r="N77" s="20" t="s">
        <v>389</v>
      </c>
      <c r="O77" s="20" t="s">
        <v>389</v>
      </c>
      <c r="P77" s="20" t="s">
        <v>715</v>
      </c>
      <c r="Q77" s="134" t="s">
        <v>389</v>
      </c>
      <c r="R77" s="25"/>
    </row>
    <row r="78" spans="1:18" ht="27" x14ac:dyDescent="0.25">
      <c r="A78" s="132">
        <v>68</v>
      </c>
      <c r="B78" s="132" t="s">
        <v>400</v>
      </c>
      <c r="C78" s="124">
        <v>1</v>
      </c>
      <c r="D78" s="125" t="s">
        <v>14</v>
      </c>
      <c r="E78" s="125" t="s">
        <v>478</v>
      </c>
      <c r="F78" s="159" t="s">
        <v>1529</v>
      </c>
      <c r="G78" s="124">
        <v>2</v>
      </c>
      <c r="H78" s="124">
        <v>2</v>
      </c>
      <c r="I78" s="51" t="s">
        <v>485</v>
      </c>
      <c r="J78" s="126" t="s">
        <v>707</v>
      </c>
      <c r="K78" s="52" t="s">
        <v>707</v>
      </c>
      <c r="L78" s="133" t="s">
        <v>815</v>
      </c>
      <c r="M78" s="26" t="s">
        <v>707</v>
      </c>
      <c r="N78" s="20" t="s">
        <v>715</v>
      </c>
      <c r="O78" s="20" t="s">
        <v>389</v>
      </c>
      <c r="P78" s="20" t="s">
        <v>715</v>
      </c>
      <c r="Q78" s="134" t="s">
        <v>389</v>
      </c>
      <c r="R78" s="25"/>
    </row>
    <row r="79" spans="1:18" ht="30" x14ac:dyDescent="0.25">
      <c r="A79" s="132">
        <v>69</v>
      </c>
      <c r="B79" s="132" t="s">
        <v>400</v>
      </c>
      <c r="C79" s="124">
        <v>1</v>
      </c>
      <c r="D79" s="125" t="s">
        <v>14</v>
      </c>
      <c r="E79" s="125" t="s">
        <v>479</v>
      </c>
      <c r="F79" s="159" t="s">
        <v>1570</v>
      </c>
      <c r="G79" s="124">
        <v>2</v>
      </c>
      <c r="H79" s="124">
        <v>2</v>
      </c>
      <c r="I79" s="51" t="s">
        <v>485</v>
      </c>
      <c r="J79" s="126" t="s">
        <v>707</v>
      </c>
      <c r="K79" s="52" t="s">
        <v>707</v>
      </c>
      <c r="L79" s="133" t="s">
        <v>859</v>
      </c>
      <c r="M79" s="26" t="s">
        <v>707</v>
      </c>
      <c r="N79" s="20" t="s">
        <v>389</v>
      </c>
      <c r="O79" s="20" t="s">
        <v>389</v>
      </c>
      <c r="P79" s="20" t="s">
        <v>715</v>
      </c>
      <c r="Q79" s="134" t="s">
        <v>389</v>
      </c>
      <c r="R79" s="25"/>
    </row>
    <row r="80" spans="1:18" ht="90" x14ac:dyDescent="0.25">
      <c r="A80" s="132">
        <v>70</v>
      </c>
      <c r="B80" s="132" t="s">
        <v>400</v>
      </c>
      <c r="C80" s="124">
        <v>1</v>
      </c>
      <c r="D80" s="125" t="s">
        <v>14</v>
      </c>
      <c r="E80" s="125" t="s">
        <v>480</v>
      </c>
      <c r="F80" s="159" t="s">
        <v>1568</v>
      </c>
      <c r="G80" s="124">
        <v>7</v>
      </c>
      <c r="H80" s="124">
        <v>7</v>
      </c>
      <c r="I80" s="51" t="s">
        <v>477</v>
      </c>
      <c r="J80" s="126" t="s">
        <v>707</v>
      </c>
      <c r="K80" s="52" t="s">
        <v>707</v>
      </c>
      <c r="L80" s="133" t="s">
        <v>858</v>
      </c>
      <c r="M80" s="26" t="s">
        <v>707</v>
      </c>
      <c r="N80" s="20" t="s">
        <v>389</v>
      </c>
      <c r="O80" s="20" t="s">
        <v>389</v>
      </c>
      <c r="P80" s="20" t="s">
        <v>715</v>
      </c>
      <c r="Q80" s="134" t="s">
        <v>389</v>
      </c>
      <c r="R80" s="25"/>
    </row>
    <row r="81" spans="1:18" ht="30" x14ac:dyDescent="0.25">
      <c r="A81" s="132">
        <v>71</v>
      </c>
      <c r="B81" s="132" t="s">
        <v>400</v>
      </c>
      <c r="C81" s="124">
        <v>1</v>
      </c>
      <c r="D81" s="125" t="s">
        <v>14</v>
      </c>
      <c r="E81" s="125" t="s">
        <v>481</v>
      </c>
      <c r="F81" s="159" t="s">
        <v>1573</v>
      </c>
      <c r="G81" s="124">
        <v>3</v>
      </c>
      <c r="H81" s="124">
        <v>3</v>
      </c>
      <c r="I81" s="51" t="s">
        <v>482</v>
      </c>
      <c r="J81" s="126" t="s">
        <v>707</v>
      </c>
      <c r="K81" s="52" t="s">
        <v>707</v>
      </c>
      <c r="L81" s="133" t="s">
        <v>862</v>
      </c>
      <c r="M81" s="26" t="s">
        <v>707</v>
      </c>
      <c r="N81" s="20" t="s">
        <v>389</v>
      </c>
      <c r="O81" s="20" t="s">
        <v>389</v>
      </c>
      <c r="P81" s="20" t="s">
        <v>715</v>
      </c>
      <c r="Q81" s="134" t="s">
        <v>389</v>
      </c>
      <c r="R81" s="25"/>
    </row>
    <row r="82" spans="1:18" ht="45" x14ac:dyDescent="0.25">
      <c r="A82" s="132">
        <v>72</v>
      </c>
      <c r="B82" s="132" t="s">
        <v>400</v>
      </c>
      <c r="C82" s="124">
        <v>1</v>
      </c>
      <c r="D82" s="125" t="s">
        <v>14</v>
      </c>
      <c r="E82" s="125" t="s">
        <v>483</v>
      </c>
      <c r="F82" s="159" t="s">
        <v>1572</v>
      </c>
      <c r="G82" s="124">
        <v>3</v>
      </c>
      <c r="H82" s="124">
        <v>3</v>
      </c>
      <c r="I82" s="51" t="s">
        <v>482</v>
      </c>
      <c r="J82" s="126" t="s">
        <v>707</v>
      </c>
      <c r="K82" s="52" t="s">
        <v>707</v>
      </c>
      <c r="L82" s="133" t="s">
        <v>861</v>
      </c>
      <c r="M82" s="26" t="s">
        <v>707</v>
      </c>
      <c r="N82" s="20" t="s">
        <v>389</v>
      </c>
      <c r="O82" s="20" t="s">
        <v>389</v>
      </c>
      <c r="P82" s="20" t="s">
        <v>715</v>
      </c>
      <c r="Q82" s="134" t="s">
        <v>389</v>
      </c>
      <c r="R82" s="25"/>
    </row>
    <row r="83" spans="1:18" ht="30" x14ac:dyDescent="0.25">
      <c r="A83" s="132">
        <v>73</v>
      </c>
      <c r="B83" s="132" t="s">
        <v>400</v>
      </c>
      <c r="C83" s="124">
        <v>1</v>
      </c>
      <c r="D83" s="125" t="s">
        <v>14</v>
      </c>
      <c r="E83" s="125" t="s">
        <v>484</v>
      </c>
      <c r="F83" s="159" t="s">
        <v>1574</v>
      </c>
      <c r="G83" s="124">
        <v>2</v>
      </c>
      <c r="H83" s="124">
        <v>2</v>
      </c>
      <c r="I83" s="51" t="s">
        <v>485</v>
      </c>
      <c r="J83" s="126" t="s">
        <v>707</v>
      </c>
      <c r="K83" s="52" t="s">
        <v>707</v>
      </c>
      <c r="L83" s="133" t="s">
        <v>863</v>
      </c>
      <c r="M83" s="26" t="s">
        <v>707</v>
      </c>
      <c r="N83" s="20" t="s">
        <v>389</v>
      </c>
      <c r="O83" s="20" t="s">
        <v>389</v>
      </c>
      <c r="P83" s="20" t="s">
        <v>389</v>
      </c>
      <c r="Q83" s="134" t="s">
        <v>389</v>
      </c>
      <c r="R83" s="25"/>
    </row>
    <row r="84" spans="1:18" ht="40.5" x14ac:dyDescent="0.25">
      <c r="A84" s="132">
        <v>74</v>
      </c>
      <c r="B84" s="132" t="s">
        <v>400</v>
      </c>
      <c r="C84" s="124">
        <v>1</v>
      </c>
      <c r="D84" s="125" t="s">
        <v>14</v>
      </c>
      <c r="E84" s="125" t="s">
        <v>486</v>
      </c>
      <c r="F84" s="159" t="s">
        <v>1528</v>
      </c>
      <c r="G84" s="124">
        <v>1</v>
      </c>
      <c r="H84" s="124">
        <v>1</v>
      </c>
      <c r="I84" s="51" t="s">
        <v>487</v>
      </c>
      <c r="J84" s="126" t="s">
        <v>707</v>
      </c>
      <c r="K84" s="52" t="s">
        <v>707</v>
      </c>
      <c r="L84" s="133" t="s">
        <v>814</v>
      </c>
      <c r="M84" s="26" t="s">
        <v>707</v>
      </c>
      <c r="N84" s="20" t="s">
        <v>715</v>
      </c>
      <c r="O84" s="20" t="s">
        <v>389</v>
      </c>
      <c r="P84" s="20" t="s">
        <v>715</v>
      </c>
      <c r="Q84" s="134" t="s">
        <v>389</v>
      </c>
      <c r="R84" s="25"/>
    </row>
    <row r="85" spans="1:18" ht="40.5" x14ac:dyDescent="0.25">
      <c r="A85" s="132">
        <v>75</v>
      </c>
      <c r="B85" s="132" t="s">
        <v>400</v>
      </c>
      <c r="C85" s="124">
        <v>1</v>
      </c>
      <c r="D85" s="125" t="s">
        <v>14</v>
      </c>
      <c r="E85" s="125" t="s">
        <v>488</v>
      </c>
      <c r="F85" s="159" t="s">
        <v>1571</v>
      </c>
      <c r="G85" s="124">
        <v>5</v>
      </c>
      <c r="H85" s="124">
        <v>5</v>
      </c>
      <c r="I85" s="51" t="s">
        <v>489</v>
      </c>
      <c r="J85" s="126" t="s">
        <v>707</v>
      </c>
      <c r="K85" s="52" t="s">
        <v>707</v>
      </c>
      <c r="L85" s="133" t="s">
        <v>860</v>
      </c>
      <c r="M85" s="26" t="s">
        <v>707</v>
      </c>
      <c r="N85" s="20" t="s">
        <v>389</v>
      </c>
      <c r="O85" s="20" t="s">
        <v>389</v>
      </c>
      <c r="P85" s="20" t="s">
        <v>389</v>
      </c>
      <c r="Q85" s="134" t="s">
        <v>389</v>
      </c>
      <c r="R85" s="25"/>
    </row>
    <row r="86" spans="1:18" ht="40.5" x14ac:dyDescent="0.25">
      <c r="A86" s="132">
        <v>76</v>
      </c>
      <c r="B86" s="132" t="s">
        <v>400</v>
      </c>
      <c r="C86" s="124">
        <v>1</v>
      </c>
      <c r="D86" s="125" t="s">
        <v>14</v>
      </c>
      <c r="E86" s="125" t="s">
        <v>490</v>
      </c>
      <c r="F86" s="159" t="s">
        <v>1569</v>
      </c>
      <c r="G86" s="124">
        <v>5</v>
      </c>
      <c r="H86" s="124">
        <v>0</v>
      </c>
      <c r="I86" s="51" t="s">
        <v>489</v>
      </c>
      <c r="J86" s="126" t="s">
        <v>707</v>
      </c>
      <c r="K86" s="52" t="s">
        <v>707</v>
      </c>
      <c r="L86" s="133" t="s">
        <v>935</v>
      </c>
      <c r="M86" s="26" t="s">
        <v>707</v>
      </c>
      <c r="N86" s="20" t="s">
        <v>389</v>
      </c>
      <c r="O86" s="20" t="s">
        <v>389</v>
      </c>
      <c r="P86" s="20" t="s">
        <v>389</v>
      </c>
      <c r="Q86" s="134" t="s">
        <v>389</v>
      </c>
      <c r="R86" s="25"/>
    </row>
    <row r="87" spans="1:18" ht="54" x14ac:dyDescent="0.25">
      <c r="A87" s="132">
        <v>77</v>
      </c>
      <c r="B87" s="132" t="s">
        <v>400</v>
      </c>
      <c r="C87" s="124">
        <v>1</v>
      </c>
      <c r="D87" s="125" t="s">
        <v>14</v>
      </c>
      <c r="E87" s="125" t="s">
        <v>491</v>
      </c>
      <c r="F87" s="159" t="s">
        <v>1527</v>
      </c>
      <c r="G87" s="124">
        <v>4</v>
      </c>
      <c r="H87" s="124">
        <v>4</v>
      </c>
      <c r="I87" s="51" t="s">
        <v>492</v>
      </c>
      <c r="J87" s="126" t="s">
        <v>707</v>
      </c>
      <c r="K87" s="52" t="s">
        <v>707</v>
      </c>
      <c r="L87" s="133" t="s">
        <v>813</v>
      </c>
      <c r="M87" s="26" t="s">
        <v>707</v>
      </c>
      <c r="N87" s="20" t="s">
        <v>715</v>
      </c>
      <c r="O87" s="20" t="s">
        <v>389</v>
      </c>
      <c r="P87" s="20" t="s">
        <v>389</v>
      </c>
      <c r="Q87" s="134" t="s">
        <v>389</v>
      </c>
      <c r="R87" s="25"/>
    </row>
    <row r="88" spans="1:18" ht="45" x14ac:dyDescent="0.25">
      <c r="A88" s="132">
        <v>78</v>
      </c>
      <c r="B88" s="132" t="s">
        <v>400</v>
      </c>
      <c r="C88" s="124">
        <v>1</v>
      </c>
      <c r="D88" s="125" t="s">
        <v>14</v>
      </c>
      <c r="E88" s="125" t="s">
        <v>493</v>
      </c>
      <c r="F88" s="159" t="s">
        <v>1538</v>
      </c>
      <c r="G88" s="124">
        <v>4</v>
      </c>
      <c r="H88" s="124">
        <v>4</v>
      </c>
      <c r="I88" s="51" t="s">
        <v>494</v>
      </c>
      <c r="J88" s="126" t="s">
        <v>707</v>
      </c>
      <c r="K88" s="52" t="s">
        <v>707</v>
      </c>
      <c r="L88" s="133" t="s">
        <v>825</v>
      </c>
      <c r="M88" s="26" t="s">
        <v>707</v>
      </c>
      <c r="N88" s="20" t="s">
        <v>389</v>
      </c>
      <c r="O88" s="20" t="s">
        <v>389</v>
      </c>
      <c r="P88" s="20" t="s">
        <v>715</v>
      </c>
      <c r="Q88" s="134" t="s">
        <v>389</v>
      </c>
      <c r="R88" s="25"/>
    </row>
    <row r="89" spans="1:18" ht="30" x14ac:dyDescent="0.25">
      <c r="A89" s="132">
        <v>79</v>
      </c>
      <c r="B89" s="132" t="s">
        <v>400</v>
      </c>
      <c r="C89" s="124">
        <v>1</v>
      </c>
      <c r="D89" s="125" t="s">
        <v>14</v>
      </c>
      <c r="E89" s="125" t="s">
        <v>495</v>
      </c>
      <c r="F89" s="159" t="s">
        <v>1536</v>
      </c>
      <c r="G89" s="124">
        <v>2</v>
      </c>
      <c r="H89" s="124">
        <v>2</v>
      </c>
      <c r="I89" s="51" t="s">
        <v>496</v>
      </c>
      <c r="J89" s="126" t="s">
        <v>707</v>
      </c>
      <c r="K89" s="52" t="s">
        <v>707</v>
      </c>
      <c r="L89" s="133" t="s">
        <v>823</v>
      </c>
      <c r="M89" s="26" t="s">
        <v>707</v>
      </c>
      <c r="N89" s="20" t="s">
        <v>389</v>
      </c>
      <c r="O89" s="20" t="s">
        <v>389</v>
      </c>
      <c r="P89" s="20" t="s">
        <v>715</v>
      </c>
      <c r="Q89" s="134" t="s">
        <v>389</v>
      </c>
      <c r="R89" s="25"/>
    </row>
    <row r="90" spans="1:18" ht="60" x14ac:dyDescent="0.25">
      <c r="A90" s="132">
        <v>80</v>
      </c>
      <c r="B90" s="132" t="s">
        <v>400</v>
      </c>
      <c r="C90" s="124">
        <v>1</v>
      </c>
      <c r="D90" s="125" t="s">
        <v>14</v>
      </c>
      <c r="E90" s="125" t="s">
        <v>497</v>
      </c>
      <c r="F90" s="159" t="s">
        <v>1537</v>
      </c>
      <c r="G90" s="124">
        <v>3</v>
      </c>
      <c r="H90" s="124">
        <v>3</v>
      </c>
      <c r="I90" s="51" t="s">
        <v>498</v>
      </c>
      <c r="J90" s="126" t="s">
        <v>707</v>
      </c>
      <c r="K90" s="52" t="s">
        <v>707</v>
      </c>
      <c r="L90" s="133" t="s">
        <v>824</v>
      </c>
      <c r="M90" s="26" t="s">
        <v>707</v>
      </c>
      <c r="N90" s="20" t="s">
        <v>389</v>
      </c>
      <c r="O90" s="20" t="s">
        <v>389</v>
      </c>
      <c r="P90" s="20" t="s">
        <v>715</v>
      </c>
      <c r="Q90" s="134" t="s">
        <v>389</v>
      </c>
      <c r="R90" s="25"/>
    </row>
    <row r="91" spans="1:18" ht="30" x14ac:dyDescent="0.25">
      <c r="A91" s="132">
        <v>81</v>
      </c>
      <c r="B91" s="132" t="s">
        <v>400</v>
      </c>
      <c r="C91" s="124">
        <v>1</v>
      </c>
      <c r="D91" s="125" t="s">
        <v>14</v>
      </c>
      <c r="E91" s="125" t="s">
        <v>499</v>
      </c>
      <c r="F91" s="159" t="s">
        <v>1539</v>
      </c>
      <c r="G91" s="124">
        <v>1</v>
      </c>
      <c r="H91" s="124">
        <v>1</v>
      </c>
      <c r="I91" s="51" t="s">
        <v>500</v>
      </c>
      <c r="J91" s="126" t="s">
        <v>707</v>
      </c>
      <c r="K91" s="52" t="s">
        <v>707</v>
      </c>
      <c r="L91" s="133" t="s">
        <v>826</v>
      </c>
      <c r="M91" s="26" t="s">
        <v>707</v>
      </c>
      <c r="N91" s="20" t="s">
        <v>389</v>
      </c>
      <c r="O91" s="20" t="s">
        <v>389</v>
      </c>
      <c r="P91" s="20" t="s">
        <v>715</v>
      </c>
      <c r="Q91" s="134" t="s">
        <v>389</v>
      </c>
      <c r="R91" s="25"/>
    </row>
    <row r="92" spans="1:18" ht="27" x14ac:dyDescent="0.25">
      <c r="A92" s="132">
        <v>82</v>
      </c>
      <c r="B92" s="132" t="s">
        <v>400</v>
      </c>
      <c r="C92" s="124">
        <v>1</v>
      </c>
      <c r="D92" s="125" t="s">
        <v>14</v>
      </c>
      <c r="E92" s="125" t="s">
        <v>501</v>
      </c>
      <c r="F92" s="159" t="s">
        <v>1551</v>
      </c>
      <c r="G92" s="124">
        <v>1</v>
      </c>
      <c r="H92" s="124">
        <v>1</v>
      </c>
      <c r="I92" s="51" t="s">
        <v>135</v>
      </c>
      <c r="J92" s="126" t="s">
        <v>707</v>
      </c>
      <c r="K92" s="52" t="s">
        <v>707</v>
      </c>
      <c r="L92" s="133" t="s">
        <v>839</v>
      </c>
      <c r="M92" s="26" t="s">
        <v>707</v>
      </c>
      <c r="N92" s="20" t="s">
        <v>389</v>
      </c>
      <c r="O92" s="20" t="s">
        <v>715</v>
      </c>
      <c r="P92" s="20" t="s">
        <v>715</v>
      </c>
      <c r="Q92" s="134" t="s">
        <v>389</v>
      </c>
      <c r="R92" s="25"/>
    </row>
    <row r="93" spans="1:18" ht="40.5" x14ac:dyDescent="0.25">
      <c r="A93" s="132">
        <v>83</v>
      </c>
      <c r="B93" s="132" t="s">
        <v>400</v>
      </c>
      <c r="C93" s="124">
        <v>1</v>
      </c>
      <c r="D93" s="125" t="s">
        <v>14</v>
      </c>
      <c r="E93" s="125" t="s">
        <v>15</v>
      </c>
      <c r="F93" s="159" t="s">
        <v>1578</v>
      </c>
      <c r="G93" s="124">
        <v>2</v>
      </c>
      <c r="H93" s="124">
        <v>2</v>
      </c>
      <c r="I93" s="51" t="s">
        <v>461</v>
      </c>
      <c r="J93" s="126" t="s">
        <v>707</v>
      </c>
      <c r="K93" s="52" t="s">
        <v>707</v>
      </c>
      <c r="L93" s="133" t="s">
        <v>865</v>
      </c>
      <c r="M93" s="26" t="s">
        <v>1100</v>
      </c>
      <c r="N93" s="20" t="s">
        <v>389</v>
      </c>
      <c r="O93" s="20" t="s">
        <v>715</v>
      </c>
      <c r="P93" s="20" t="s">
        <v>715</v>
      </c>
      <c r="Q93" s="134" t="s">
        <v>389</v>
      </c>
      <c r="R93" s="25"/>
    </row>
    <row r="94" spans="1:18" ht="67.5" x14ac:dyDescent="0.25">
      <c r="A94" s="132">
        <v>84</v>
      </c>
      <c r="B94" s="132" t="s">
        <v>400</v>
      </c>
      <c r="C94" s="124">
        <v>1</v>
      </c>
      <c r="D94" s="125" t="s">
        <v>14</v>
      </c>
      <c r="E94" s="125" t="s">
        <v>502</v>
      </c>
      <c r="F94" s="159" t="s">
        <v>1575</v>
      </c>
      <c r="G94" s="124">
        <v>2</v>
      </c>
      <c r="H94" s="124">
        <v>2</v>
      </c>
      <c r="I94" s="51" t="s">
        <v>461</v>
      </c>
      <c r="J94" s="126" t="s">
        <v>707</v>
      </c>
      <c r="K94" s="52" t="s">
        <v>707</v>
      </c>
      <c r="L94" s="133" t="s">
        <v>864</v>
      </c>
      <c r="M94" s="26" t="s">
        <v>707</v>
      </c>
      <c r="N94" s="20" t="s">
        <v>389</v>
      </c>
      <c r="O94" s="20" t="s">
        <v>389</v>
      </c>
      <c r="P94" s="20" t="s">
        <v>389</v>
      </c>
      <c r="Q94" s="134" t="s">
        <v>389</v>
      </c>
      <c r="R94" s="25"/>
    </row>
    <row r="95" spans="1:18" ht="45" x14ac:dyDescent="0.25">
      <c r="A95" s="132">
        <v>85</v>
      </c>
      <c r="B95" s="132" t="s">
        <v>400</v>
      </c>
      <c r="C95" s="124">
        <v>1</v>
      </c>
      <c r="D95" s="125" t="s">
        <v>14</v>
      </c>
      <c r="E95" s="125" t="s">
        <v>503</v>
      </c>
      <c r="F95" s="159" t="s">
        <v>1552</v>
      </c>
      <c r="G95" s="124">
        <v>3</v>
      </c>
      <c r="H95" s="124">
        <v>3</v>
      </c>
      <c r="I95" s="51" t="s">
        <v>504</v>
      </c>
      <c r="J95" s="126" t="s">
        <v>707</v>
      </c>
      <c r="K95" s="52" t="s">
        <v>707</v>
      </c>
      <c r="L95" s="133" t="s">
        <v>840</v>
      </c>
      <c r="M95" s="26" t="s">
        <v>707</v>
      </c>
      <c r="N95" s="20" t="s">
        <v>389</v>
      </c>
      <c r="O95" s="20" t="s">
        <v>389</v>
      </c>
      <c r="P95" s="20" t="s">
        <v>715</v>
      </c>
      <c r="Q95" s="134" t="s">
        <v>389</v>
      </c>
      <c r="R95" s="25"/>
    </row>
    <row r="96" spans="1:18" ht="27" x14ac:dyDescent="0.25">
      <c r="A96" s="132">
        <v>86</v>
      </c>
      <c r="B96" s="132" t="s">
        <v>400</v>
      </c>
      <c r="C96" s="124">
        <v>1</v>
      </c>
      <c r="D96" s="125" t="s">
        <v>14</v>
      </c>
      <c r="E96" s="125" t="s">
        <v>505</v>
      </c>
      <c r="F96" s="159" t="s">
        <v>1553</v>
      </c>
      <c r="G96" s="124">
        <v>1</v>
      </c>
      <c r="H96" s="124">
        <v>1</v>
      </c>
      <c r="I96" s="51" t="s">
        <v>506</v>
      </c>
      <c r="J96" s="126" t="s">
        <v>707</v>
      </c>
      <c r="K96" s="52" t="s">
        <v>707</v>
      </c>
      <c r="L96" s="133" t="s">
        <v>841</v>
      </c>
      <c r="M96" s="26" t="s">
        <v>707</v>
      </c>
      <c r="N96" s="20" t="s">
        <v>389</v>
      </c>
      <c r="O96" s="20" t="s">
        <v>389</v>
      </c>
      <c r="P96" s="20" t="s">
        <v>715</v>
      </c>
      <c r="Q96" s="134" t="s">
        <v>389</v>
      </c>
      <c r="R96" s="25"/>
    </row>
    <row r="97" spans="1:18" ht="45" x14ac:dyDescent="0.25">
      <c r="A97" s="132">
        <v>87</v>
      </c>
      <c r="B97" s="132" t="s">
        <v>400</v>
      </c>
      <c r="C97" s="124">
        <v>1</v>
      </c>
      <c r="D97" s="125" t="s">
        <v>14</v>
      </c>
      <c r="E97" s="125" t="s">
        <v>507</v>
      </c>
      <c r="F97" s="159" t="s">
        <v>1555</v>
      </c>
      <c r="G97" s="124">
        <v>3</v>
      </c>
      <c r="H97" s="124">
        <v>3</v>
      </c>
      <c r="I97" s="51" t="s">
        <v>508</v>
      </c>
      <c r="J97" s="126" t="s">
        <v>707</v>
      </c>
      <c r="K97" s="52" t="s">
        <v>707</v>
      </c>
      <c r="L97" s="133" t="s">
        <v>844</v>
      </c>
      <c r="M97" s="26" t="s">
        <v>707</v>
      </c>
      <c r="N97" s="20" t="s">
        <v>389</v>
      </c>
      <c r="O97" s="20" t="s">
        <v>389</v>
      </c>
      <c r="P97" s="20" t="s">
        <v>715</v>
      </c>
      <c r="Q97" s="134" t="s">
        <v>389</v>
      </c>
      <c r="R97" s="25"/>
    </row>
    <row r="98" spans="1:18" x14ac:dyDescent="0.25">
      <c r="A98" s="132">
        <v>88</v>
      </c>
      <c r="B98" s="132" t="s">
        <v>400</v>
      </c>
      <c r="C98" s="124">
        <v>1</v>
      </c>
      <c r="D98" s="125" t="s">
        <v>14</v>
      </c>
      <c r="E98" s="125" t="s">
        <v>509</v>
      </c>
      <c r="F98" s="159" t="s">
        <v>1559</v>
      </c>
      <c r="G98" s="124">
        <v>1</v>
      </c>
      <c r="H98" s="124">
        <v>1</v>
      </c>
      <c r="I98" s="51" t="s">
        <v>510</v>
      </c>
      <c r="J98" s="126" t="s">
        <v>707</v>
      </c>
      <c r="K98" s="52" t="s">
        <v>707</v>
      </c>
      <c r="L98" s="133" t="s">
        <v>849</v>
      </c>
      <c r="M98" s="26" t="s">
        <v>707</v>
      </c>
      <c r="N98" s="20" t="s">
        <v>389</v>
      </c>
      <c r="O98" s="20" t="s">
        <v>389</v>
      </c>
      <c r="P98" s="20" t="s">
        <v>715</v>
      </c>
      <c r="Q98" s="134" t="s">
        <v>389</v>
      </c>
      <c r="R98" s="25"/>
    </row>
    <row r="99" spans="1:18" ht="54" x14ac:dyDescent="0.25">
      <c r="A99" s="132">
        <v>89</v>
      </c>
      <c r="B99" s="132" t="s">
        <v>400</v>
      </c>
      <c r="C99" s="124">
        <v>1</v>
      </c>
      <c r="D99" s="125" t="s">
        <v>14</v>
      </c>
      <c r="E99" s="125" t="s">
        <v>511</v>
      </c>
      <c r="F99" s="159" t="s">
        <v>1554</v>
      </c>
      <c r="G99" s="124">
        <v>8</v>
      </c>
      <c r="H99" s="124">
        <v>8</v>
      </c>
      <c r="I99" s="51" t="s">
        <v>842</v>
      </c>
      <c r="J99" s="126" t="s">
        <v>707</v>
      </c>
      <c r="K99" s="52" t="s">
        <v>707</v>
      </c>
      <c r="L99" s="133" t="s">
        <v>843</v>
      </c>
      <c r="M99" s="26" t="s">
        <v>707</v>
      </c>
      <c r="N99" s="20" t="s">
        <v>389</v>
      </c>
      <c r="O99" s="20" t="s">
        <v>389</v>
      </c>
      <c r="P99" s="20" t="s">
        <v>715</v>
      </c>
      <c r="Q99" s="134" t="s">
        <v>389</v>
      </c>
      <c r="R99" s="25"/>
    </row>
    <row r="100" spans="1:18" ht="45" x14ac:dyDescent="0.25">
      <c r="A100" s="132">
        <v>90</v>
      </c>
      <c r="B100" s="132" t="s">
        <v>400</v>
      </c>
      <c r="C100" s="124">
        <v>1</v>
      </c>
      <c r="D100" s="125" t="s">
        <v>14</v>
      </c>
      <c r="E100" s="125" t="s">
        <v>512</v>
      </c>
      <c r="F100" s="159" t="s">
        <v>1558</v>
      </c>
      <c r="G100" s="124">
        <v>6</v>
      </c>
      <c r="H100" s="124">
        <v>6</v>
      </c>
      <c r="I100" s="51" t="s">
        <v>847</v>
      </c>
      <c r="J100" s="126" t="s">
        <v>707</v>
      </c>
      <c r="K100" s="52" t="s">
        <v>707</v>
      </c>
      <c r="L100" s="133" t="s">
        <v>848</v>
      </c>
      <c r="M100" s="26" t="s">
        <v>707</v>
      </c>
      <c r="N100" s="20" t="s">
        <v>389</v>
      </c>
      <c r="O100" s="20" t="s">
        <v>389</v>
      </c>
      <c r="P100" s="20" t="s">
        <v>715</v>
      </c>
      <c r="Q100" s="134" t="s">
        <v>389</v>
      </c>
      <c r="R100" s="25"/>
    </row>
    <row r="101" spans="1:18" ht="45" x14ac:dyDescent="0.25">
      <c r="A101" s="132">
        <v>91</v>
      </c>
      <c r="B101" s="132" t="s">
        <v>400</v>
      </c>
      <c r="C101" s="124">
        <v>1</v>
      </c>
      <c r="D101" s="125" t="s">
        <v>14</v>
      </c>
      <c r="E101" s="125" t="s">
        <v>513</v>
      </c>
      <c r="F101" s="159" t="s">
        <v>1560</v>
      </c>
      <c r="G101" s="124">
        <v>24</v>
      </c>
      <c r="H101" s="124">
        <v>24</v>
      </c>
      <c r="I101" s="51" t="s">
        <v>504</v>
      </c>
      <c r="J101" s="126" t="s">
        <v>707</v>
      </c>
      <c r="K101" s="52" t="s">
        <v>707</v>
      </c>
      <c r="L101" s="133" t="s">
        <v>850</v>
      </c>
      <c r="M101" s="26" t="s">
        <v>707</v>
      </c>
      <c r="N101" s="20" t="s">
        <v>389</v>
      </c>
      <c r="O101" s="20" t="s">
        <v>389</v>
      </c>
      <c r="P101" s="20" t="s">
        <v>389</v>
      </c>
      <c r="Q101" s="134" t="s">
        <v>389</v>
      </c>
      <c r="R101" s="25"/>
    </row>
    <row r="102" spans="1:18" ht="27" x14ac:dyDescent="0.25">
      <c r="A102" s="132">
        <v>92</v>
      </c>
      <c r="B102" s="132" t="s">
        <v>400</v>
      </c>
      <c r="C102" s="124">
        <v>1</v>
      </c>
      <c r="D102" s="125" t="s">
        <v>14</v>
      </c>
      <c r="E102" s="125" t="s">
        <v>514</v>
      </c>
      <c r="F102" s="159" t="s">
        <v>1557</v>
      </c>
      <c r="G102" s="124">
        <v>1</v>
      </c>
      <c r="H102" s="124">
        <v>1</v>
      </c>
      <c r="I102" s="51" t="s">
        <v>515</v>
      </c>
      <c r="J102" s="126" t="s">
        <v>707</v>
      </c>
      <c r="K102" s="52" t="s">
        <v>707</v>
      </c>
      <c r="L102" s="133" t="s">
        <v>846</v>
      </c>
      <c r="M102" s="26" t="s">
        <v>707</v>
      </c>
      <c r="N102" s="20" t="s">
        <v>389</v>
      </c>
      <c r="O102" s="20" t="s">
        <v>389</v>
      </c>
      <c r="P102" s="20" t="s">
        <v>715</v>
      </c>
      <c r="Q102" s="134" t="s">
        <v>389</v>
      </c>
      <c r="R102" s="25"/>
    </row>
    <row r="103" spans="1:18" ht="27" x14ac:dyDescent="0.25">
      <c r="A103" s="132">
        <v>93</v>
      </c>
      <c r="B103" s="132" t="s">
        <v>400</v>
      </c>
      <c r="C103" s="124">
        <v>1</v>
      </c>
      <c r="D103" s="125" t="s">
        <v>14</v>
      </c>
      <c r="E103" s="125" t="s">
        <v>516</v>
      </c>
      <c r="F103" s="159" t="s">
        <v>1556</v>
      </c>
      <c r="G103" s="124">
        <v>1</v>
      </c>
      <c r="H103" s="124">
        <v>1</v>
      </c>
      <c r="I103" s="51" t="s">
        <v>517</v>
      </c>
      <c r="J103" s="126" t="s">
        <v>707</v>
      </c>
      <c r="K103" s="52" t="s">
        <v>707</v>
      </c>
      <c r="L103" s="133" t="s">
        <v>845</v>
      </c>
      <c r="M103" s="26" t="s">
        <v>707</v>
      </c>
      <c r="N103" s="20" t="s">
        <v>389</v>
      </c>
      <c r="O103" s="20" t="s">
        <v>389</v>
      </c>
      <c r="P103" s="20" t="s">
        <v>715</v>
      </c>
      <c r="Q103" s="134" t="s">
        <v>389</v>
      </c>
      <c r="R103" s="25"/>
    </row>
    <row r="104" spans="1:18" ht="27" x14ac:dyDescent="0.25">
      <c r="A104" s="132">
        <v>94</v>
      </c>
      <c r="B104" s="132" t="s">
        <v>400</v>
      </c>
      <c r="C104" s="124">
        <v>1</v>
      </c>
      <c r="D104" s="125" t="s">
        <v>14</v>
      </c>
      <c r="E104" s="125" t="s">
        <v>518</v>
      </c>
      <c r="F104" s="159" t="s">
        <v>1566</v>
      </c>
      <c r="G104" s="124">
        <v>1</v>
      </c>
      <c r="H104" s="124">
        <v>1</v>
      </c>
      <c r="I104" s="51" t="s">
        <v>519</v>
      </c>
      <c r="J104" s="126" t="s">
        <v>707</v>
      </c>
      <c r="K104" s="52" t="s">
        <v>707</v>
      </c>
      <c r="L104" s="133" t="s">
        <v>856</v>
      </c>
      <c r="M104" s="26" t="s">
        <v>707</v>
      </c>
      <c r="N104" s="20" t="s">
        <v>389</v>
      </c>
      <c r="O104" s="20" t="s">
        <v>389</v>
      </c>
      <c r="P104" s="20" t="s">
        <v>715</v>
      </c>
      <c r="Q104" s="134" t="s">
        <v>389</v>
      </c>
      <c r="R104" s="25"/>
    </row>
    <row r="105" spans="1:18" ht="27" x14ac:dyDescent="0.25">
      <c r="A105" s="132">
        <v>95</v>
      </c>
      <c r="B105" s="132" t="s">
        <v>400</v>
      </c>
      <c r="C105" s="124">
        <v>1</v>
      </c>
      <c r="D105" s="125" t="s">
        <v>14</v>
      </c>
      <c r="E105" s="125" t="s">
        <v>520</v>
      </c>
      <c r="F105" s="159" t="s">
        <v>1585</v>
      </c>
      <c r="G105" s="124">
        <v>1</v>
      </c>
      <c r="H105" s="124">
        <v>1</v>
      </c>
      <c r="I105" s="51" t="s">
        <v>83</v>
      </c>
      <c r="J105" s="126" t="s">
        <v>707</v>
      </c>
      <c r="K105" s="52" t="s">
        <v>707</v>
      </c>
      <c r="L105" s="133" t="s">
        <v>873</v>
      </c>
      <c r="M105" s="26" t="s">
        <v>707</v>
      </c>
      <c r="N105" s="20" t="s">
        <v>389</v>
      </c>
      <c r="O105" s="20" t="s">
        <v>389</v>
      </c>
      <c r="P105" s="20" t="s">
        <v>389</v>
      </c>
      <c r="Q105" s="134" t="s">
        <v>389</v>
      </c>
      <c r="R105" s="25"/>
    </row>
    <row r="106" spans="1:18" ht="40.5" x14ac:dyDescent="0.25">
      <c r="A106" s="132">
        <v>96</v>
      </c>
      <c r="B106" s="132" t="s">
        <v>400</v>
      </c>
      <c r="C106" s="124">
        <v>1</v>
      </c>
      <c r="D106" s="125" t="s">
        <v>14</v>
      </c>
      <c r="E106" s="125" t="s">
        <v>521</v>
      </c>
      <c r="F106" s="159" t="s">
        <v>1583</v>
      </c>
      <c r="G106" s="124">
        <v>1</v>
      </c>
      <c r="H106" s="124">
        <v>1</v>
      </c>
      <c r="I106" s="51" t="s">
        <v>84</v>
      </c>
      <c r="J106" s="126" t="s">
        <v>707</v>
      </c>
      <c r="K106" s="52" t="s">
        <v>707</v>
      </c>
      <c r="L106" s="133" t="s">
        <v>871</v>
      </c>
      <c r="M106" s="26" t="s">
        <v>707</v>
      </c>
      <c r="N106" s="20" t="s">
        <v>389</v>
      </c>
      <c r="O106" s="20" t="s">
        <v>389</v>
      </c>
      <c r="P106" s="20" t="s">
        <v>389</v>
      </c>
      <c r="Q106" s="134" t="s">
        <v>389</v>
      </c>
      <c r="R106" s="25"/>
    </row>
    <row r="107" spans="1:18" ht="30" x14ac:dyDescent="0.25">
      <c r="A107" s="132">
        <v>97</v>
      </c>
      <c r="B107" s="132" t="s">
        <v>400</v>
      </c>
      <c r="C107" s="124">
        <v>1</v>
      </c>
      <c r="D107" s="125" t="s">
        <v>14</v>
      </c>
      <c r="E107" s="125" t="s">
        <v>522</v>
      </c>
      <c r="F107" s="159" t="s">
        <v>1586</v>
      </c>
      <c r="G107" s="124">
        <v>2</v>
      </c>
      <c r="H107" s="124">
        <v>2</v>
      </c>
      <c r="I107" s="51" t="s">
        <v>523</v>
      </c>
      <c r="J107" s="126" t="s">
        <v>707</v>
      </c>
      <c r="K107" s="52" t="s">
        <v>707</v>
      </c>
      <c r="L107" s="133" t="s">
        <v>874</v>
      </c>
      <c r="M107" s="26" t="s">
        <v>707</v>
      </c>
      <c r="N107" s="20" t="s">
        <v>389</v>
      </c>
      <c r="O107" s="20" t="s">
        <v>389</v>
      </c>
      <c r="P107" s="20" t="s">
        <v>389</v>
      </c>
      <c r="Q107" s="134" t="s">
        <v>389</v>
      </c>
      <c r="R107" s="25"/>
    </row>
    <row r="108" spans="1:18" ht="40.5" x14ac:dyDescent="0.25">
      <c r="A108" s="132">
        <v>98</v>
      </c>
      <c r="B108" s="132" t="s">
        <v>400</v>
      </c>
      <c r="C108" s="124">
        <v>1</v>
      </c>
      <c r="D108" s="125" t="s">
        <v>14</v>
      </c>
      <c r="E108" s="125" t="s">
        <v>524</v>
      </c>
      <c r="F108" s="159" t="s">
        <v>1588</v>
      </c>
      <c r="G108" s="124">
        <v>2</v>
      </c>
      <c r="H108" s="124">
        <v>2</v>
      </c>
      <c r="I108" s="51" t="s">
        <v>523</v>
      </c>
      <c r="J108" s="126" t="s">
        <v>707</v>
      </c>
      <c r="K108" s="52" t="s">
        <v>707</v>
      </c>
      <c r="L108" s="133" t="s">
        <v>937</v>
      </c>
      <c r="M108" s="26" t="s">
        <v>707</v>
      </c>
      <c r="N108" s="20" t="s">
        <v>715</v>
      </c>
      <c r="O108" s="20" t="s">
        <v>389</v>
      </c>
      <c r="P108" s="20" t="s">
        <v>389</v>
      </c>
      <c r="Q108" s="134" t="s">
        <v>389</v>
      </c>
      <c r="R108" s="25"/>
    </row>
    <row r="109" spans="1:18" ht="40.5" x14ac:dyDescent="0.25">
      <c r="A109" s="132">
        <v>99</v>
      </c>
      <c r="B109" s="132" t="s">
        <v>400</v>
      </c>
      <c r="C109" s="124">
        <v>1</v>
      </c>
      <c r="D109" s="125" t="s">
        <v>14</v>
      </c>
      <c r="E109" s="125" t="s">
        <v>525</v>
      </c>
      <c r="F109" s="159" t="s">
        <v>1587</v>
      </c>
      <c r="G109" s="124">
        <v>1</v>
      </c>
      <c r="H109" s="124">
        <v>1</v>
      </c>
      <c r="I109" s="51" t="s">
        <v>85</v>
      </c>
      <c r="J109" s="126" t="s">
        <v>707</v>
      </c>
      <c r="K109" s="52" t="s">
        <v>707</v>
      </c>
      <c r="L109" s="133" t="s">
        <v>936</v>
      </c>
      <c r="M109" s="26" t="s">
        <v>707</v>
      </c>
      <c r="N109" s="20" t="s">
        <v>715</v>
      </c>
      <c r="O109" s="20" t="s">
        <v>389</v>
      </c>
      <c r="P109" s="20" t="s">
        <v>389</v>
      </c>
      <c r="Q109" s="134" t="s">
        <v>389</v>
      </c>
      <c r="R109" s="25"/>
    </row>
    <row r="110" spans="1:18" ht="40.5" x14ac:dyDescent="0.25">
      <c r="A110" s="132">
        <v>100</v>
      </c>
      <c r="B110" s="132" t="s">
        <v>400</v>
      </c>
      <c r="C110" s="124">
        <v>1</v>
      </c>
      <c r="D110" s="125" t="s">
        <v>14</v>
      </c>
      <c r="E110" s="125" t="s">
        <v>526</v>
      </c>
      <c r="F110" s="159" t="s">
        <v>1589</v>
      </c>
      <c r="G110" s="124">
        <v>1</v>
      </c>
      <c r="H110" s="124">
        <v>1</v>
      </c>
      <c r="I110" s="51" t="s">
        <v>83</v>
      </c>
      <c r="J110" s="126" t="s">
        <v>707</v>
      </c>
      <c r="K110" s="52" t="s">
        <v>707</v>
      </c>
      <c r="L110" s="133" t="s">
        <v>938</v>
      </c>
      <c r="M110" s="26" t="s">
        <v>707</v>
      </c>
      <c r="N110" s="20" t="s">
        <v>715</v>
      </c>
      <c r="O110" s="20" t="s">
        <v>389</v>
      </c>
      <c r="P110" s="20" t="s">
        <v>389</v>
      </c>
      <c r="Q110" s="134" t="s">
        <v>389</v>
      </c>
      <c r="R110" s="25"/>
    </row>
    <row r="111" spans="1:18" ht="54" x14ac:dyDescent="0.25">
      <c r="A111" s="132">
        <v>101</v>
      </c>
      <c r="B111" s="132" t="s">
        <v>400</v>
      </c>
      <c r="C111" s="124">
        <v>1</v>
      </c>
      <c r="D111" s="125" t="s">
        <v>14</v>
      </c>
      <c r="E111" s="125" t="s">
        <v>527</v>
      </c>
      <c r="F111" s="159" t="s">
        <v>1590</v>
      </c>
      <c r="G111" s="124">
        <v>2</v>
      </c>
      <c r="H111" s="124">
        <v>2</v>
      </c>
      <c r="I111" s="51" t="s">
        <v>528</v>
      </c>
      <c r="J111" s="126" t="s">
        <v>707</v>
      </c>
      <c r="K111" s="52" t="s">
        <v>707</v>
      </c>
      <c r="L111" s="133" t="s">
        <v>939</v>
      </c>
      <c r="M111" s="26" t="s">
        <v>707</v>
      </c>
      <c r="N111" s="20" t="s">
        <v>715</v>
      </c>
      <c r="O111" s="20" t="s">
        <v>389</v>
      </c>
      <c r="P111" s="20" t="s">
        <v>389</v>
      </c>
      <c r="Q111" s="134" t="s">
        <v>389</v>
      </c>
      <c r="R111" s="25"/>
    </row>
    <row r="112" spans="1:18" ht="27" x14ac:dyDescent="0.25">
      <c r="A112" s="132">
        <v>102</v>
      </c>
      <c r="B112" s="132" t="s">
        <v>400</v>
      </c>
      <c r="C112" s="124">
        <v>1</v>
      </c>
      <c r="D112" s="125" t="s">
        <v>14</v>
      </c>
      <c r="E112" s="125" t="s">
        <v>529</v>
      </c>
      <c r="F112" s="159" t="s">
        <v>1584</v>
      </c>
      <c r="G112" s="124">
        <v>1</v>
      </c>
      <c r="H112" s="124">
        <v>1</v>
      </c>
      <c r="I112" s="51" t="s">
        <v>85</v>
      </c>
      <c r="J112" s="126" t="s">
        <v>707</v>
      </c>
      <c r="K112" s="52" t="s">
        <v>707</v>
      </c>
      <c r="L112" s="133" t="s">
        <v>872</v>
      </c>
      <c r="M112" s="26" t="s">
        <v>707</v>
      </c>
      <c r="N112" s="20" t="s">
        <v>389</v>
      </c>
      <c r="O112" s="20" t="s">
        <v>389</v>
      </c>
      <c r="P112" s="20" t="s">
        <v>389</v>
      </c>
      <c r="Q112" s="134" t="s">
        <v>389</v>
      </c>
      <c r="R112" s="25"/>
    </row>
    <row r="113" spans="1:18" ht="40.5" x14ac:dyDescent="0.25">
      <c r="A113" s="132">
        <v>103</v>
      </c>
      <c r="B113" s="132" t="s">
        <v>400</v>
      </c>
      <c r="C113" s="124">
        <v>1</v>
      </c>
      <c r="D113" s="125" t="s">
        <v>14</v>
      </c>
      <c r="E113" s="125" t="s">
        <v>530</v>
      </c>
      <c r="F113" s="159" t="s">
        <v>1582</v>
      </c>
      <c r="G113" s="124">
        <v>1</v>
      </c>
      <c r="H113" s="124">
        <v>1</v>
      </c>
      <c r="I113" s="51" t="s">
        <v>86</v>
      </c>
      <c r="J113" s="126" t="s">
        <v>707</v>
      </c>
      <c r="K113" s="52" t="s">
        <v>707</v>
      </c>
      <c r="L113" s="133" t="s">
        <v>870</v>
      </c>
      <c r="M113" s="26" t="s">
        <v>707</v>
      </c>
      <c r="N113" s="20" t="s">
        <v>389</v>
      </c>
      <c r="O113" s="20" t="s">
        <v>389</v>
      </c>
      <c r="P113" s="20" t="s">
        <v>389</v>
      </c>
      <c r="Q113" s="134" t="s">
        <v>389</v>
      </c>
      <c r="R113" s="25"/>
    </row>
    <row r="114" spans="1:18" ht="40.5" x14ac:dyDescent="0.25">
      <c r="A114" s="132">
        <v>104</v>
      </c>
      <c r="B114" s="132" t="s">
        <v>400</v>
      </c>
      <c r="C114" s="124">
        <v>1</v>
      </c>
      <c r="D114" s="125" t="s">
        <v>14</v>
      </c>
      <c r="E114" s="125" t="s">
        <v>17</v>
      </c>
      <c r="F114" s="159" t="s">
        <v>1579</v>
      </c>
      <c r="G114" s="124">
        <v>1</v>
      </c>
      <c r="H114" s="124">
        <v>1</v>
      </c>
      <c r="I114" s="51" t="s">
        <v>16</v>
      </c>
      <c r="J114" s="126" t="s">
        <v>707</v>
      </c>
      <c r="K114" s="52" t="s">
        <v>707</v>
      </c>
      <c r="L114" s="133" t="s">
        <v>866</v>
      </c>
      <c r="M114" s="26" t="s">
        <v>1099</v>
      </c>
      <c r="N114" s="20" t="s">
        <v>389</v>
      </c>
      <c r="O114" s="20" t="s">
        <v>389</v>
      </c>
      <c r="P114" s="20" t="s">
        <v>715</v>
      </c>
      <c r="Q114" s="134" t="s">
        <v>389</v>
      </c>
      <c r="R114" s="25"/>
    </row>
    <row r="115" spans="1:18" ht="30" x14ac:dyDescent="0.25">
      <c r="A115" s="132">
        <v>105</v>
      </c>
      <c r="B115" s="132" t="s">
        <v>400</v>
      </c>
      <c r="C115" s="124">
        <v>1</v>
      </c>
      <c r="D115" s="125" t="s">
        <v>14</v>
      </c>
      <c r="E115" s="125" t="s">
        <v>531</v>
      </c>
      <c r="F115" s="159" t="s">
        <v>1546</v>
      </c>
      <c r="G115" s="124">
        <v>2</v>
      </c>
      <c r="H115" s="124">
        <v>2</v>
      </c>
      <c r="I115" s="51" t="s">
        <v>790</v>
      </c>
      <c r="J115" s="126" t="s">
        <v>707</v>
      </c>
      <c r="K115" s="52" t="s">
        <v>707</v>
      </c>
      <c r="L115" s="133" t="s">
        <v>833</v>
      </c>
      <c r="M115" s="26" t="s">
        <v>707</v>
      </c>
      <c r="N115" s="20" t="s">
        <v>389</v>
      </c>
      <c r="O115" s="20" t="s">
        <v>389</v>
      </c>
      <c r="P115" s="20" t="s">
        <v>715</v>
      </c>
      <c r="Q115" s="134" t="s">
        <v>389</v>
      </c>
      <c r="R115" s="25"/>
    </row>
    <row r="116" spans="1:18" ht="27" x14ac:dyDescent="0.25">
      <c r="A116" s="132">
        <v>106</v>
      </c>
      <c r="B116" s="132" t="s">
        <v>400</v>
      </c>
      <c r="C116" s="124">
        <v>1</v>
      </c>
      <c r="D116" s="125" t="s">
        <v>14</v>
      </c>
      <c r="E116" s="125" t="s">
        <v>532</v>
      </c>
      <c r="F116" s="159" t="s">
        <v>1547</v>
      </c>
      <c r="G116" s="124">
        <v>1</v>
      </c>
      <c r="H116" s="124">
        <v>1</v>
      </c>
      <c r="I116" s="51" t="s">
        <v>834</v>
      </c>
      <c r="J116" s="126" t="s">
        <v>707</v>
      </c>
      <c r="K116" s="52" t="s">
        <v>707</v>
      </c>
      <c r="L116" s="133" t="s">
        <v>835</v>
      </c>
      <c r="M116" s="26" t="s">
        <v>707</v>
      </c>
      <c r="N116" s="20" t="s">
        <v>389</v>
      </c>
      <c r="O116" s="20" t="s">
        <v>389</v>
      </c>
      <c r="P116" s="20" t="s">
        <v>715</v>
      </c>
      <c r="Q116" s="134" t="s">
        <v>389</v>
      </c>
      <c r="R116" s="25"/>
    </row>
    <row r="117" spans="1:18" ht="40.5" x14ac:dyDescent="0.25">
      <c r="A117" s="132">
        <v>107</v>
      </c>
      <c r="B117" s="132" t="s">
        <v>400</v>
      </c>
      <c r="C117" s="124">
        <v>1</v>
      </c>
      <c r="D117" s="125" t="s">
        <v>14</v>
      </c>
      <c r="E117" s="125" t="s">
        <v>533</v>
      </c>
      <c r="F117" s="159" t="s">
        <v>1543</v>
      </c>
      <c r="G117" s="124">
        <v>3</v>
      </c>
      <c r="H117" s="124">
        <v>3</v>
      </c>
      <c r="I117" s="51" t="s">
        <v>534</v>
      </c>
      <c r="J117" s="126" t="s">
        <v>707</v>
      </c>
      <c r="K117" s="52" t="s">
        <v>707</v>
      </c>
      <c r="L117" s="133" t="s">
        <v>830</v>
      </c>
      <c r="M117" s="26" t="s">
        <v>707</v>
      </c>
      <c r="N117" s="20" t="s">
        <v>389</v>
      </c>
      <c r="O117" s="20" t="s">
        <v>389</v>
      </c>
      <c r="P117" s="20" t="s">
        <v>715</v>
      </c>
      <c r="Q117" s="134" t="s">
        <v>389</v>
      </c>
      <c r="R117" s="25"/>
    </row>
    <row r="118" spans="1:18" ht="40.5" x14ac:dyDescent="0.25">
      <c r="A118" s="132">
        <v>108</v>
      </c>
      <c r="B118" s="132" t="s">
        <v>400</v>
      </c>
      <c r="C118" s="124">
        <v>1</v>
      </c>
      <c r="D118" s="125" t="s">
        <v>14</v>
      </c>
      <c r="E118" s="125" t="s">
        <v>535</v>
      </c>
      <c r="F118" s="159" t="s">
        <v>1545</v>
      </c>
      <c r="G118" s="124">
        <v>1</v>
      </c>
      <c r="H118" s="124">
        <v>1</v>
      </c>
      <c r="I118" s="51" t="s">
        <v>536</v>
      </c>
      <c r="J118" s="126" t="s">
        <v>707</v>
      </c>
      <c r="K118" s="52" t="s">
        <v>707</v>
      </c>
      <c r="L118" s="133" t="s">
        <v>832</v>
      </c>
      <c r="M118" s="26" t="s">
        <v>707</v>
      </c>
      <c r="N118" s="20" t="s">
        <v>389</v>
      </c>
      <c r="O118" s="20" t="s">
        <v>389</v>
      </c>
      <c r="P118" s="20" t="s">
        <v>715</v>
      </c>
      <c r="Q118" s="134" t="s">
        <v>389</v>
      </c>
      <c r="R118" s="25"/>
    </row>
    <row r="119" spans="1:18" ht="30" x14ac:dyDescent="0.25">
      <c r="A119" s="132">
        <v>109</v>
      </c>
      <c r="B119" s="132" t="s">
        <v>400</v>
      </c>
      <c r="C119" s="124">
        <v>1</v>
      </c>
      <c r="D119" s="125" t="s">
        <v>14</v>
      </c>
      <c r="E119" s="125" t="s">
        <v>537</v>
      </c>
      <c r="F119" s="159" t="s">
        <v>1534</v>
      </c>
      <c r="G119" s="124">
        <v>4</v>
      </c>
      <c r="H119" s="124">
        <v>4</v>
      </c>
      <c r="I119" s="51" t="s">
        <v>711</v>
      </c>
      <c r="J119" s="126" t="s">
        <v>707</v>
      </c>
      <c r="K119" s="52" t="s">
        <v>707</v>
      </c>
      <c r="L119" s="133" t="s">
        <v>821</v>
      </c>
      <c r="M119" s="26" t="s">
        <v>707</v>
      </c>
      <c r="N119" s="20" t="s">
        <v>715</v>
      </c>
      <c r="O119" s="20" t="s">
        <v>389</v>
      </c>
      <c r="P119" s="20" t="s">
        <v>715</v>
      </c>
      <c r="Q119" s="134" t="s">
        <v>389</v>
      </c>
      <c r="R119" s="25"/>
    </row>
    <row r="120" spans="1:18" ht="30" x14ac:dyDescent="0.25">
      <c r="A120" s="132">
        <v>110</v>
      </c>
      <c r="B120" s="132" t="s">
        <v>400</v>
      </c>
      <c r="C120" s="124">
        <v>1</v>
      </c>
      <c r="D120" s="125" t="s">
        <v>14</v>
      </c>
      <c r="E120" s="125" t="s">
        <v>539</v>
      </c>
      <c r="F120" s="159" t="s">
        <v>1549</v>
      </c>
      <c r="G120" s="124">
        <v>2</v>
      </c>
      <c r="H120" s="124">
        <v>2</v>
      </c>
      <c r="I120" s="51" t="s">
        <v>540</v>
      </c>
      <c r="J120" s="126" t="s">
        <v>707</v>
      </c>
      <c r="K120" s="52" t="s">
        <v>707</v>
      </c>
      <c r="L120" s="133" t="s">
        <v>837</v>
      </c>
      <c r="M120" s="26" t="s">
        <v>707</v>
      </c>
      <c r="N120" s="20" t="s">
        <v>389</v>
      </c>
      <c r="O120" s="20" t="s">
        <v>389</v>
      </c>
      <c r="P120" s="20" t="s">
        <v>389</v>
      </c>
      <c r="Q120" s="134" t="s">
        <v>389</v>
      </c>
      <c r="R120" s="25"/>
    </row>
    <row r="121" spans="1:18" ht="30" x14ac:dyDescent="0.25">
      <c r="A121" s="132">
        <v>111</v>
      </c>
      <c r="B121" s="132" t="s">
        <v>400</v>
      </c>
      <c r="C121" s="124">
        <v>1</v>
      </c>
      <c r="D121" s="125" t="s">
        <v>14</v>
      </c>
      <c r="E121" s="125" t="s">
        <v>541</v>
      </c>
      <c r="F121" s="159" t="s">
        <v>1548</v>
      </c>
      <c r="G121" s="124">
        <v>2</v>
      </c>
      <c r="H121" s="124">
        <v>2</v>
      </c>
      <c r="I121" s="51" t="s">
        <v>540</v>
      </c>
      <c r="J121" s="126" t="s">
        <v>707</v>
      </c>
      <c r="K121" s="52" t="s">
        <v>707</v>
      </c>
      <c r="L121" s="133" t="s">
        <v>836</v>
      </c>
      <c r="M121" s="26" t="s">
        <v>707</v>
      </c>
      <c r="N121" s="20" t="s">
        <v>389</v>
      </c>
      <c r="O121" s="20" t="s">
        <v>389</v>
      </c>
      <c r="P121" s="20" t="s">
        <v>389</v>
      </c>
      <c r="Q121" s="134" t="s">
        <v>389</v>
      </c>
      <c r="R121" s="25"/>
    </row>
    <row r="122" spans="1:18" ht="81" x14ac:dyDescent="0.25">
      <c r="A122" s="132">
        <v>112</v>
      </c>
      <c r="B122" s="132" t="s">
        <v>400</v>
      </c>
      <c r="C122" s="124">
        <v>1</v>
      </c>
      <c r="D122" s="125" t="s">
        <v>14</v>
      </c>
      <c r="E122" s="125" t="s">
        <v>542</v>
      </c>
      <c r="F122" s="159" t="s">
        <v>1580</v>
      </c>
      <c r="G122" s="124">
        <v>12</v>
      </c>
      <c r="H122" s="124">
        <v>12</v>
      </c>
      <c r="I122" s="51" t="s">
        <v>867</v>
      </c>
      <c r="J122" s="126" t="s">
        <v>707</v>
      </c>
      <c r="K122" s="52" t="s">
        <v>707</v>
      </c>
      <c r="L122" s="133" t="s">
        <v>868</v>
      </c>
      <c r="M122" s="26" t="s">
        <v>707</v>
      </c>
      <c r="N122" s="20" t="s">
        <v>715</v>
      </c>
      <c r="O122" s="20" t="s">
        <v>389</v>
      </c>
      <c r="P122" s="20" t="s">
        <v>715</v>
      </c>
      <c r="Q122" s="134" t="s">
        <v>389</v>
      </c>
      <c r="R122" s="25"/>
    </row>
    <row r="123" spans="1:18" ht="81" x14ac:dyDescent="0.25">
      <c r="A123" s="132">
        <v>113</v>
      </c>
      <c r="B123" s="132" t="s">
        <v>400</v>
      </c>
      <c r="C123" s="124">
        <v>1</v>
      </c>
      <c r="D123" s="125" t="s">
        <v>14</v>
      </c>
      <c r="E123" s="125" t="s">
        <v>543</v>
      </c>
      <c r="F123" s="159" t="s">
        <v>1581</v>
      </c>
      <c r="G123" s="124">
        <v>12</v>
      </c>
      <c r="H123" s="124">
        <v>12</v>
      </c>
      <c r="I123" s="51" t="s">
        <v>867</v>
      </c>
      <c r="J123" s="126" t="s">
        <v>707</v>
      </c>
      <c r="K123" s="52" t="s">
        <v>707</v>
      </c>
      <c r="L123" s="133" t="s">
        <v>869</v>
      </c>
      <c r="M123" s="26" t="s">
        <v>707</v>
      </c>
      <c r="N123" s="20" t="s">
        <v>389</v>
      </c>
      <c r="O123" s="20" t="s">
        <v>389</v>
      </c>
      <c r="P123" s="20" t="s">
        <v>389</v>
      </c>
      <c r="Q123" s="134" t="s">
        <v>389</v>
      </c>
      <c r="R123" s="25"/>
    </row>
    <row r="124" spans="1:18" ht="40.5" x14ac:dyDescent="0.25">
      <c r="A124" s="132">
        <v>114</v>
      </c>
      <c r="B124" s="132" t="s">
        <v>400</v>
      </c>
      <c r="C124" s="124">
        <v>1</v>
      </c>
      <c r="D124" s="125" t="s">
        <v>14</v>
      </c>
      <c r="E124" s="125" t="s">
        <v>544</v>
      </c>
      <c r="F124" s="159" t="s">
        <v>1544</v>
      </c>
      <c r="G124" s="124">
        <v>1</v>
      </c>
      <c r="H124" s="124">
        <v>1</v>
      </c>
      <c r="I124" s="51" t="s">
        <v>545</v>
      </c>
      <c r="J124" s="126" t="s">
        <v>707</v>
      </c>
      <c r="K124" s="52" t="s">
        <v>707</v>
      </c>
      <c r="L124" s="133" t="s">
        <v>831</v>
      </c>
      <c r="M124" s="26" t="s">
        <v>707</v>
      </c>
      <c r="N124" s="20" t="s">
        <v>389</v>
      </c>
      <c r="O124" s="20" t="s">
        <v>389</v>
      </c>
      <c r="P124" s="20" t="s">
        <v>715</v>
      </c>
      <c r="Q124" s="134" t="s">
        <v>389</v>
      </c>
      <c r="R124" s="25"/>
    </row>
    <row r="125" spans="1:18" ht="40.5" x14ac:dyDescent="0.25">
      <c r="A125" s="132">
        <v>115</v>
      </c>
      <c r="B125" s="132" t="s">
        <v>400</v>
      </c>
      <c r="C125" s="124">
        <v>1</v>
      </c>
      <c r="D125" s="125" t="s">
        <v>14</v>
      </c>
      <c r="E125" s="125" t="s">
        <v>546</v>
      </c>
      <c r="F125" s="159" t="s">
        <v>1540</v>
      </c>
      <c r="G125" s="124">
        <v>1</v>
      </c>
      <c r="H125" s="124">
        <v>1</v>
      </c>
      <c r="I125" s="51" t="s">
        <v>547</v>
      </c>
      <c r="J125" s="126" t="s">
        <v>707</v>
      </c>
      <c r="K125" s="52" t="s">
        <v>707</v>
      </c>
      <c r="L125" s="133" t="s">
        <v>827</v>
      </c>
      <c r="M125" s="26" t="s">
        <v>707</v>
      </c>
      <c r="N125" s="20" t="s">
        <v>389</v>
      </c>
      <c r="O125" s="20" t="s">
        <v>389</v>
      </c>
      <c r="P125" s="20" t="s">
        <v>715</v>
      </c>
      <c r="Q125" s="134" t="s">
        <v>389</v>
      </c>
      <c r="R125" s="25"/>
    </row>
    <row r="126" spans="1:18" ht="45" x14ac:dyDescent="0.25">
      <c r="A126" s="132">
        <v>116</v>
      </c>
      <c r="B126" s="132" t="s">
        <v>400</v>
      </c>
      <c r="C126" s="124">
        <v>1</v>
      </c>
      <c r="D126" s="125" t="s">
        <v>14</v>
      </c>
      <c r="E126" s="125" t="s">
        <v>548</v>
      </c>
      <c r="F126" s="159" t="s">
        <v>1541</v>
      </c>
      <c r="G126" s="124">
        <v>4</v>
      </c>
      <c r="H126" s="124">
        <v>4</v>
      </c>
      <c r="I126" s="51" t="s">
        <v>549</v>
      </c>
      <c r="J126" s="126" t="s">
        <v>707</v>
      </c>
      <c r="K126" s="52" t="s">
        <v>707</v>
      </c>
      <c r="L126" s="133" t="s">
        <v>828</v>
      </c>
      <c r="M126" s="26" t="s">
        <v>707</v>
      </c>
      <c r="N126" s="20" t="s">
        <v>389</v>
      </c>
      <c r="O126" s="20" t="s">
        <v>389</v>
      </c>
      <c r="P126" s="20" t="s">
        <v>715</v>
      </c>
      <c r="Q126" s="134" t="s">
        <v>389</v>
      </c>
      <c r="R126" s="25"/>
    </row>
    <row r="127" spans="1:18" ht="75" x14ac:dyDescent="0.25">
      <c r="A127" s="132">
        <v>117</v>
      </c>
      <c r="B127" s="132" t="s">
        <v>400</v>
      </c>
      <c r="C127" s="124">
        <v>1</v>
      </c>
      <c r="D127" s="125" t="s">
        <v>14</v>
      </c>
      <c r="E127" s="125" t="s">
        <v>550</v>
      </c>
      <c r="F127" s="159" t="s">
        <v>1542</v>
      </c>
      <c r="G127" s="124">
        <v>7</v>
      </c>
      <c r="H127" s="124">
        <v>7</v>
      </c>
      <c r="I127" s="51" t="s">
        <v>551</v>
      </c>
      <c r="J127" s="126" t="s">
        <v>707</v>
      </c>
      <c r="K127" s="52" t="s">
        <v>707</v>
      </c>
      <c r="L127" s="133" t="s">
        <v>829</v>
      </c>
      <c r="M127" s="26" t="s">
        <v>707</v>
      </c>
      <c r="N127" s="20" t="s">
        <v>389</v>
      </c>
      <c r="O127" s="20" t="s">
        <v>389</v>
      </c>
      <c r="P127" s="20" t="s">
        <v>715</v>
      </c>
      <c r="Q127" s="134" t="s">
        <v>389</v>
      </c>
      <c r="R127" s="25"/>
    </row>
    <row r="128" spans="1:18" ht="27" x14ac:dyDescent="0.25">
      <c r="A128" s="132">
        <v>118</v>
      </c>
      <c r="B128" s="132" t="s">
        <v>400</v>
      </c>
      <c r="C128" s="124">
        <v>1</v>
      </c>
      <c r="D128" s="125" t="s">
        <v>14</v>
      </c>
      <c r="E128" s="125" t="s">
        <v>552</v>
      </c>
      <c r="F128" s="159" t="s">
        <v>1550</v>
      </c>
      <c r="G128" s="124">
        <v>1</v>
      </c>
      <c r="H128" s="124">
        <v>1</v>
      </c>
      <c r="I128" s="51" t="s">
        <v>136</v>
      </c>
      <c r="J128" s="126" t="s">
        <v>707</v>
      </c>
      <c r="K128" s="52" t="s">
        <v>707</v>
      </c>
      <c r="L128" s="133" t="s">
        <v>838</v>
      </c>
      <c r="M128" s="26" t="s">
        <v>707</v>
      </c>
      <c r="N128" s="20" t="s">
        <v>389</v>
      </c>
      <c r="O128" s="20" t="s">
        <v>389</v>
      </c>
      <c r="P128" s="20" t="s">
        <v>715</v>
      </c>
      <c r="Q128" s="134" t="s">
        <v>389</v>
      </c>
      <c r="R128" s="25"/>
    </row>
    <row r="129" spans="1:18" ht="60" x14ac:dyDescent="0.25">
      <c r="A129" s="132">
        <v>119</v>
      </c>
      <c r="B129" s="132" t="s">
        <v>400</v>
      </c>
      <c r="C129" s="124">
        <v>1</v>
      </c>
      <c r="D129" s="125" t="s">
        <v>14</v>
      </c>
      <c r="E129" s="125" t="s">
        <v>553</v>
      </c>
      <c r="F129" s="159" t="s">
        <v>1533</v>
      </c>
      <c r="G129" s="124">
        <v>3</v>
      </c>
      <c r="H129" s="124">
        <v>3</v>
      </c>
      <c r="I129" s="51" t="s">
        <v>712</v>
      </c>
      <c r="J129" s="126" t="s">
        <v>707</v>
      </c>
      <c r="K129" s="52" t="s">
        <v>707</v>
      </c>
      <c r="L129" s="133" t="s">
        <v>820</v>
      </c>
      <c r="M129" s="26" t="s">
        <v>707</v>
      </c>
      <c r="N129" s="20" t="s">
        <v>389</v>
      </c>
      <c r="O129" s="20" t="s">
        <v>389</v>
      </c>
      <c r="P129" s="20" t="s">
        <v>389</v>
      </c>
      <c r="Q129" s="134" t="s">
        <v>389</v>
      </c>
      <c r="R129" s="25"/>
    </row>
    <row r="130" spans="1:18" x14ac:dyDescent="0.25">
      <c r="A130" s="132">
        <v>120</v>
      </c>
      <c r="B130" s="132" t="s">
        <v>400</v>
      </c>
      <c r="C130" s="124">
        <v>1</v>
      </c>
      <c r="D130" s="125" t="s">
        <v>555</v>
      </c>
      <c r="E130" s="125" t="s">
        <v>556</v>
      </c>
      <c r="F130" s="159" t="s">
        <v>1602</v>
      </c>
      <c r="G130" s="124">
        <v>1</v>
      </c>
      <c r="H130" s="124">
        <v>1</v>
      </c>
      <c r="I130" s="51" t="s">
        <v>355</v>
      </c>
      <c r="J130" s="126" t="s">
        <v>707</v>
      </c>
      <c r="K130" s="52" t="s">
        <v>707</v>
      </c>
      <c r="L130" s="133" t="s">
        <v>886</v>
      </c>
      <c r="M130" s="26" t="s">
        <v>707</v>
      </c>
      <c r="N130" s="20" t="s">
        <v>389</v>
      </c>
      <c r="O130" s="20" t="s">
        <v>389</v>
      </c>
      <c r="P130" s="20" t="s">
        <v>389</v>
      </c>
      <c r="Q130" s="134" t="s">
        <v>389</v>
      </c>
      <c r="R130" s="25"/>
    </row>
    <row r="131" spans="1:18" x14ac:dyDescent="0.25">
      <c r="A131" s="132">
        <v>121</v>
      </c>
      <c r="B131" s="132" t="s">
        <v>400</v>
      </c>
      <c r="C131" s="124">
        <v>1</v>
      </c>
      <c r="D131" s="125" t="s">
        <v>555</v>
      </c>
      <c r="E131" s="125" t="s">
        <v>557</v>
      </c>
      <c r="F131" s="159" t="s">
        <v>1601</v>
      </c>
      <c r="G131" s="124">
        <v>1</v>
      </c>
      <c r="H131" s="124">
        <v>1</v>
      </c>
      <c r="I131" s="51" t="s">
        <v>355</v>
      </c>
      <c r="J131" s="126" t="s">
        <v>707</v>
      </c>
      <c r="K131" s="52" t="s">
        <v>707</v>
      </c>
      <c r="L131" s="133" t="s">
        <v>885</v>
      </c>
      <c r="M131" s="26" t="s">
        <v>707</v>
      </c>
      <c r="N131" s="20" t="s">
        <v>389</v>
      </c>
      <c r="O131" s="20" t="s">
        <v>389</v>
      </c>
      <c r="P131" s="20" t="s">
        <v>389</v>
      </c>
      <c r="Q131" s="134" t="s">
        <v>389</v>
      </c>
      <c r="R131" s="25"/>
    </row>
    <row r="132" spans="1:18" x14ac:dyDescent="0.25">
      <c r="A132" s="132">
        <v>122</v>
      </c>
      <c r="B132" s="132" t="s">
        <v>400</v>
      </c>
      <c r="C132" s="124">
        <v>1</v>
      </c>
      <c r="D132" s="125" t="s">
        <v>555</v>
      </c>
      <c r="E132" s="125" t="s">
        <v>558</v>
      </c>
      <c r="F132" s="159" t="s">
        <v>1603</v>
      </c>
      <c r="G132" s="124">
        <v>1</v>
      </c>
      <c r="H132" s="124">
        <v>1</v>
      </c>
      <c r="I132" s="51" t="s">
        <v>887</v>
      </c>
      <c r="J132" s="126" t="s">
        <v>707</v>
      </c>
      <c r="K132" s="52" t="s">
        <v>707</v>
      </c>
      <c r="L132" s="133" t="s">
        <v>888</v>
      </c>
      <c r="M132" s="26" t="s">
        <v>707</v>
      </c>
      <c r="N132" s="20" t="s">
        <v>389</v>
      </c>
      <c r="O132" s="20" t="s">
        <v>389</v>
      </c>
      <c r="P132" s="20" t="s">
        <v>389</v>
      </c>
      <c r="Q132" s="134" t="s">
        <v>389</v>
      </c>
      <c r="R132" s="25"/>
    </row>
    <row r="133" spans="1:18" x14ac:dyDescent="0.25">
      <c r="A133" s="132">
        <v>123</v>
      </c>
      <c r="B133" s="132" t="s">
        <v>400</v>
      </c>
      <c r="C133" s="124">
        <v>1</v>
      </c>
      <c r="D133" s="125" t="s">
        <v>555</v>
      </c>
      <c r="E133" s="125" t="s">
        <v>559</v>
      </c>
      <c r="F133" s="159" t="s">
        <v>1604</v>
      </c>
      <c r="G133" s="124">
        <v>1</v>
      </c>
      <c r="H133" s="124">
        <v>1</v>
      </c>
      <c r="I133" s="51" t="s">
        <v>887</v>
      </c>
      <c r="J133" s="126" t="s">
        <v>707</v>
      </c>
      <c r="K133" s="52" t="s">
        <v>707</v>
      </c>
      <c r="L133" s="133" t="s">
        <v>889</v>
      </c>
      <c r="M133" s="26" t="s">
        <v>707</v>
      </c>
      <c r="N133" s="20" t="s">
        <v>389</v>
      </c>
      <c r="O133" s="20" t="s">
        <v>389</v>
      </c>
      <c r="P133" s="20" t="s">
        <v>389</v>
      </c>
      <c r="Q133" s="134" t="s">
        <v>389</v>
      </c>
      <c r="R133" s="25"/>
    </row>
    <row r="134" spans="1:18" x14ac:dyDescent="0.25">
      <c r="A134" s="132">
        <v>124</v>
      </c>
      <c r="B134" s="132" t="s">
        <v>400</v>
      </c>
      <c r="C134" s="124">
        <v>1</v>
      </c>
      <c r="D134" s="125" t="s">
        <v>555</v>
      </c>
      <c r="E134" s="125" t="s">
        <v>560</v>
      </c>
      <c r="F134" s="159" t="s">
        <v>1605</v>
      </c>
      <c r="G134" s="124">
        <v>1</v>
      </c>
      <c r="H134" s="124">
        <v>1</v>
      </c>
      <c r="I134" s="51" t="s">
        <v>354</v>
      </c>
      <c r="J134" s="126" t="s">
        <v>707</v>
      </c>
      <c r="K134" s="52" t="s">
        <v>707</v>
      </c>
      <c r="L134" s="133" t="s">
        <v>890</v>
      </c>
      <c r="M134" s="26" t="s">
        <v>707</v>
      </c>
      <c r="N134" s="20" t="s">
        <v>389</v>
      </c>
      <c r="O134" s="20" t="s">
        <v>389</v>
      </c>
      <c r="P134" s="20" t="s">
        <v>389</v>
      </c>
      <c r="Q134" s="134" t="s">
        <v>389</v>
      </c>
      <c r="R134" s="25"/>
    </row>
    <row r="135" spans="1:18" x14ac:dyDescent="0.25">
      <c r="A135" s="132">
        <v>125</v>
      </c>
      <c r="B135" s="132" t="s">
        <v>400</v>
      </c>
      <c r="C135" s="124">
        <v>1</v>
      </c>
      <c r="D135" s="125" t="s">
        <v>555</v>
      </c>
      <c r="E135" s="125" t="s">
        <v>561</v>
      </c>
      <c r="F135" s="159" t="s">
        <v>1606</v>
      </c>
      <c r="G135" s="124">
        <v>1</v>
      </c>
      <c r="H135" s="124">
        <v>1</v>
      </c>
      <c r="I135" s="51" t="s">
        <v>354</v>
      </c>
      <c r="J135" s="126" t="s">
        <v>707</v>
      </c>
      <c r="K135" s="52" t="s">
        <v>707</v>
      </c>
      <c r="L135" s="133" t="s">
        <v>891</v>
      </c>
      <c r="M135" s="26" t="s">
        <v>707</v>
      </c>
      <c r="N135" s="20" t="s">
        <v>389</v>
      </c>
      <c r="O135" s="20" t="s">
        <v>389</v>
      </c>
      <c r="P135" s="20" t="s">
        <v>389</v>
      </c>
      <c r="Q135" s="134" t="s">
        <v>389</v>
      </c>
      <c r="R135" s="25"/>
    </row>
    <row r="136" spans="1:18" ht="40.5" x14ac:dyDescent="0.25">
      <c r="A136" s="132">
        <v>126</v>
      </c>
      <c r="B136" s="132" t="s">
        <v>400</v>
      </c>
      <c r="C136" s="124">
        <v>1</v>
      </c>
      <c r="D136" s="125" t="s">
        <v>555</v>
      </c>
      <c r="E136" s="125" t="s">
        <v>562</v>
      </c>
      <c r="F136" s="159" t="s">
        <v>1591</v>
      </c>
      <c r="G136" s="124">
        <v>5</v>
      </c>
      <c r="H136" s="124">
        <v>5</v>
      </c>
      <c r="I136" s="51" t="s">
        <v>563</v>
      </c>
      <c r="J136" s="126" t="s">
        <v>707</v>
      </c>
      <c r="K136" s="52" t="s">
        <v>707</v>
      </c>
      <c r="L136" s="133" t="s">
        <v>875</v>
      </c>
      <c r="M136" s="26" t="s">
        <v>707</v>
      </c>
      <c r="N136" s="20" t="s">
        <v>389</v>
      </c>
      <c r="O136" s="20" t="s">
        <v>389</v>
      </c>
      <c r="P136" s="20" t="s">
        <v>715</v>
      </c>
      <c r="Q136" s="134" t="s">
        <v>389</v>
      </c>
      <c r="R136" s="25"/>
    </row>
    <row r="137" spans="1:18" ht="27" x14ac:dyDescent="0.25">
      <c r="A137" s="132">
        <v>127</v>
      </c>
      <c r="B137" s="132" t="s">
        <v>400</v>
      </c>
      <c r="C137" s="124">
        <v>1</v>
      </c>
      <c r="D137" s="125" t="s">
        <v>555</v>
      </c>
      <c r="E137" s="125" t="s">
        <v>564</v>
      </c>
      <c r="F137" s="159" t="s">
        <v>1592</v>
      </c>
      <c r="G137" s="124">
        <v>5</v>
      </c>
      <c r="H137" s="124">
        <v>5</v>
      </c>
      <c r="I137" s="51" t="s">
        <v>565</v>
      </c>
      <c r="J137" s="126" t="s">
        <v>707</v>
      </c>
      <c r="K137" s="52" t="s">
        <v>707</v>
      </c>
      <c r="L137" s="133" t="s">
        <v>876</v>
      </c>
      <c r="M137" s="26" t="s">
        <v>707</v>
      </c>
      <c r="N137" s="20" t="s">
        <v>389</v>
      </c>
      <c r="O137" s="20" t="s">
        <v>389</v>
      </c>
      <c r="P137" s="20" t="s">
        <v>389</v>
      </c>
      <c r="Q137" s="134" t="s">
        <v>389</v>
      </c>
      <c r="R137" s="25"/>
    </row>
    <row r="138" spans="1:18" ht="27" x14ac:dyDescent="0.25">
      <c r="A138" s="132">
        <v>128</v>
      </c>
      <c r="B138" s="132" t="s">
        <v>400</v>
      </c>
      <c r="C138" s="124">
        <v>1</v>
      </c>
      <c r="D138" s="125" t="s">
        <v>555</v>
      </c>
      <c r="E138" s="125" t="s">
        <v>566</v>
      </c>
      <c r="F138" s="159" t="s">
        <v>1593</v>
      </c>
      <c r="G138" s="124">
        <v>6</v>
      </c>
      <c r="H138" s="124">
        <v>0</v>
      </c>
      <c r="I138" s="51" t="s">
        <v>567</v>
      </c>
      <c r="J138" s="126" t="s">
        <v>707</v>
      </c>
      <c r="K138" s="52" t="s">
        <v>707</v>
      </c>
      <c r="L138" s="133" t="s">
        <v>877</v>
      </c>
      <c r="M138" s="26" t="s">
        <v>707</v>
      </c>
      <c r="N138" s="20" t="s">
        <v>389</v>
      </c>
      <c r="O138" s="20" t="s">
        <v>389</v>
      </c>
      <c r="P138" s="20" t="s">
        <v>389</v>
      </c>
      <c r="Q138" s="134" t="s">
        <v>389</v>
      </c>
      <c r="R138" s="25"/>
    </row>
    <row r="139" spans="1:18" x14ac:dyDescent="0.25">
      <c r="A139" s="132">
        <v>129</v>
      </c>
      <c r="B139" s="132" t="s">
        <v>400</v>
      </c>
      <c r="C139" s="124">
        <v>1</v>
      </c>
      <c r="D139" s="125" t="s">
        <v>555</v>
      </c>
      <c r="E139" s="125" t="s">
        <v>568</v>
      </c>
      <c r="F139" s="159" t="s">
        <v>1595</v>
      </c>
      <c r="G139" s="124">
        <v>1</v>
      </c>
      <c r="H139" s="124">
        <v>1</v>
      </c>
      <c r="I139" s="51" t="s">
        <v>353</v>
      </c>
      <c r="J139" s="126" t="s">
        <v>707</v>
      </c>
      <c r="K139" s="52" t="s">
        <v>707</v>
      </c>
      <c r="L139" s="133" t="s">
        <v>879</v>
      </c>
      <c r="M139" s="26" t="s">
        <v>707</v>
      </c>
      <c r="N139" s="20" t="s">
        <v>389</v>
      </c>
      <c r="O139" s="20" t="s">
        <v>389</v>
      </c>
      <c r="P139" s="20" t="s">
        <v>389</v>
      </c>
      <c r="Q139" s="134" t="s">
        <v>389</v>
      </c>
      <c r="R139" s="25"/>
    </row>
    <row r="140" spans="1:18" x14ac:dyDescent="0.25">
      <c r="A140" s="132">
        <v>130</v>
      </c>
      <c r="B140" s="132" t="s">
        <v>400</v>
      </c>
      <c r="C140" s="124">
        <v>1</v>
      </c>
      <c r="D140" s="125" t="s">
        <v>555</v>
      </c>
      <c r="E140" s="125" t="s">
        <v>569</v>
      </c>
      <c r="F140" s="159" t="s">
        <v>1596</v>
      </c>
      <c r="G140" s="124">
        <v>2</v>
      </c>
      <c r="H140" s="124">
        <v>2</v>
      </c>
      <c r="I140" s="51" t="s">
        <v>353</v>
      </c>
      <c r="J140" s="126" t="s">
        <v>707</v>
      </c>
      <c r="K140" s="52" t="s">
        <v>707</v>
      </c>
      <c r="L140" s="133" t="s">
        <v>880</v>
      </c>
      <c r="M140" s="26" t="s">
        <v>707</v>
      </c>
      <c r="N140" s="20" t="s">
        <v>389</v>
      </c>
      <c r="O140" s="20" t="s">
        <v>389</v>
      </c>
      <c r="P140" s="20" t="s">
        <v>389</v>
      </c>
      <c r="Q140" s="134" t="s">
        <v>389</v>
      </c>
      <c r="R140" s="25"/>
    </row>
    <row r="141" spans="1:18" x14ac:dyDescent="0.25">
      <c r="A141" s="132">
        <v>131</v>
      </c>
      <c r="B141" s="132" t="s">
        <v>400</v>
      </c>
      <c r="C141" s="124">
        <v>1</v>
      </c>
      <c r="D141" s="125" t="s">
        <v>555</v>
      </c>
      <c r="E141" s="125" t="s">
        <v>570</v>
      </c>
      <c r="F141" s="159" t="s">
        <v>1594</v>
      </c>
      <c r="G141" s="124">
        <v>1</v>
      </c>
      <c r="H141" s="124">
        <v>1</v>
      </c>
      <c r="I141" s="51" t="s">
        <v>353</v>
      </c>
      <c r="J141" s="126" t="s">
        <v>707</v>
      </c>
      <c r="K141" s="52" t="s">
        <v>707</v>
      </c>
      <c r="L141" s="133" t="s">
        <v>878</v>
      </c>
      <c r="M141" s="26" t="s">
        <v>707</v>
      </c>
      <c r="N141" s="20" t="s">
        <v>389</v>
      </c>
      <c r="O141" s="20" t="s">
        <v>389</v>
      </c>
      <c r="P141" s="20" t="s">
        <v>389</v>
      </c>
      <c r="Q141" s="134" t="s">
        <v>389</v>
      </c>
      <c r="R141" s="25"/>
    </row>
    <row r="142" spans="1:18" x14ac:dyDescent="0.25">
      <c r="A142" s="132">
        <v>132</v>
      </c>
      <c r="B142" s="132" t="s">
        <v>400</v>
      </c>
      <c r="C142" s="124">
        <v>1</v>
      </c>
      <c r="D142" s="125" t="s">
        <v>555</v>
      </c>
      <c r="E142" s="125" t="s">
        <v>571</v>
      </c>
      <c r="F142" s="159" t="s">
        <v>1598</v>
      </c>
      <c r="G142" s="124">
        <v>2</v>
      </c>
      <c r="H142" s="124">
        <v>2</v>
      </c>
      <c r="I142" s="51" t="s">
        <v>353</v>
      </c>
      <c r="J142" s="126" t="s">
        <v>707</v>
      </c>
      <c r="K142" s="52" t="s">
        <v>707</v>
      </c>
      <c r="L142" s="133" t="s">
        <v>882</v>
      </c>
      <c r="M142" s="26" t="s">
        <v>707</v>
      </c>
      <c r="N142" s="20" t="s">
        <v>389</v>
      </c>
      <c r="O142" s="20" t="s">
        <v>389</v>
      </c>
      <c r="P142" s="20" t="s">
        <v>389</v>
      </c>
      <c r="Q142" s="134" t="s">
        <v>389</v>
      </c>
      <c r="R142" s="25"/>
    </row>
    <row r="143" spans="1:18" x14ac:dyDescent="0.25">
      <c r="A143" s="132">
        <v>133</v>
      </c>
      <c r="B143" s="132" t="s">
        <v>400</v>
      </c>
      <c r="C143" s="124">
        <v>1</v>
      </c>
      <c r="D143" s="125" t="s">
        <v>555</v>
      </c>
      <c r="E143" s="125" t="s">
        <v>572</v>
      </c>
      <c r="F143" s="159" t="s">
        <v>1599</v>
      </c>
      <c r="G143" s="124">
        <v>2</v>
      </c>
      <c r="H143" s="124">
        <v>2</v>
      </c>
      <c r="I143" s="51" t="s">
        <v>353</v>
      </c>
      <c r="J143" s="126" t="s">
        <v>707</v>
      </c>
      <c r="K143" s="52" t="s">
        <v>707</v>
      </c>
      <c r="L143" s="133" t="s">
        <v>883</v>
      </c>
      <c r="M143" s="26" t="s">
        <v>707</v>
      </c>
      <c r="N143" s="20" t="s">
        <v>389</v>
      </c>
      <c r="O143" s="20" t="s">
        <v>389</v>
      </c>
      <c r="P143" s="20" t="s">
        <v>389</v>
      </c>
      <c r="Q143" s="134" t="s">
        <v>389</v>
      </c>
      <c r="R143" s="25"/>
    </row>
    <row r="144" spans="1:18" x14ac:dyDescent="0.25">
      <c r="A144" s="132">
        <v>134</v>
      </c>
      <c r="B144" s="132" t="s">
        <v>400</v>
      </c>
      <c r="C144" s="124">
        <v>1</v>
      </c>
      <c r="D144" s="125" t="s">
        <v>555</v>
      </c>
      <c r="E144" s="125" t="s">
        <v>573</v>
      </c>
      <c r="F144" s="159" t="s">
        <v>1597</v>
      </c>
      <c r="G144" s="124">
        <v>2</v>
      </c>
      <c r="H144" s="124">
        <v>2</v>
      </c>
      <c r="I144" s="51" t="s">
        <v>353</v>
      </c>
      <c r="J144" s="126" t="s">
        <v>707</v>
      </c>
      <c r="K144" s="52" t="s">
        <v>707</v>
      </c>
      <c r="L144" s="133" t="s">
        <v>881</v>
      </c>
      <c r="M144" s="26" t="s">
        <v>707</v>
      </c>
      <c r="N144" s="20" t="s">
        <v>389</v>
      </c>
      <c r="O144" s="20" t="s">
        <v>389</v>
      </c>
      <c r="P144" s="20" t="s">
        <v>389</v>
      </c>
      <c r="Q144" s="134" t="s">
        <v>389</v>
      </c>
      <c r="R144" s="25"/>
    </row>
    <row r="145" spans="1:18" x14ac:dyDescent="0.25">
      <c r="A145" s="132">
        <v>135</v>
      </c>
      <c r="B145" s="132" t="s">
        <v>400</v>
      </c>
      <c r="C145" s="124">
        <v>1</v>
      </c>
      <c r="D145" s="125" t="s">
        <v>555</v>
      </c>
      <c r="E145" s="125" t="s">
        <v>574</v>
      </c>
      <c r="F145" s="159" t="s">
        <v>1600</v>
      </c>
      <c r="G145" s="124">
        <v>1</v>
      </c>
      <c r="H145" s="124">
        <v>1</v>
      </c>
      <c r="I145" s="51" t="s">
        <v>353</v>
      </c>
      <c r="J145" s="126" t="s">
        <v>707</v>
      </c>
      <c r="K145" s="52" t="s">
        <v>707</v>
      </c>
      <c r="L145" s="133" t="s">
        <v>884</v>
      </c>
      <c r="M145" s="26" t="s">
        <v>707</v>
      </c>
      <c r="N145" s="20" t="s">
        <v>389</v>
      </c>
      <c r="O145" s="20" t="s">
        <v>389</v>
      </c>
      <c r="P145" s="20" t="s">
        <v>389</v>
      </c>
      <c r="Q145" s="134" t="s">
        <v>389</v>
      </c>
      <c r="R145" s="25"/>
    </row>
    <row r="146" spans="1:18" x14ac:dyDescent="0.25">
      <c r="A146" s="132">
        <v>136</v>
      </c>
      <c r="B146" s="132" t="s">
        <v>400</v>
      </c>
      <c r="C146" s="124">
        <v>1</v>
      </c>
      <c r="D146" s="125" t="s">
        <v>575</v>
      </c>
      <c r="E146" s="125" t="s">
        <v>576</v>
      </c>
      <c r="F146" s="159" t="s">
        <v>1609</v>
      </c>
      <c r="G146" s="124">
        <v>15</v>
      </c>
      <c r="H146" s="124">
        <v>15</v>
      </c>
      <c r="I146" s="51" t="s">
        <v>125</v>
      </c>
      <c r="J146" s="126" t="s">
        <v>707</v>
      </c>
      <c r="K146" s="52" t="s">
        <v>707</v>
      </c>
      <c r="L146" s="133"/>
      <c r="M146" s="26" t="s">
        <v>707</v>
      </c>
      <c r="N146" s="20" t="s">
        <v>389</v>
      </c>
      <c r="O146" s="20" t="s">
        <v>389</v>
      </c>
      <c r="P146" s="20" t="s">
        <v>389</v>
      </c>
      <c r="Q146" s="134" t="s">
        <v>389</v>
      </c>
      <c r="R146" s="25"/>
    </row>
    <row r="147" spans="1:18" x14ac:dyDescent="0.25">
      <c r="A147" s="132">
        <v>137</v>
      </c>
      <c r="B147" s="132" t="s">
        <v>400</v>
      </c>
      <c r="C147" s="124">
        <v>1</v>
      </c>
      <c r="D147" s="125" t="s">
        <v>575</v>
      </c>
      <c r="E147" s="125" t="s">
        <v>578</v>
      </c>
      <c r="F147" s="159" t="s">
        <v>1607</v>
      </c>
      <c r="G147" s="124">
        <v>350</v>
      </c>
      <c r="H147" s="124">
        <v>350</v>
      </c>
      <c r="I147" s="51" t="s">
        <v>125</v>
      </c>
      <c r="J147" s="126" t="s">
        <v>707</v>
      </c>
      <c r="K147" s="52" t="s">
        <v>707</v>
      </c>
      <c r="L147" s="133"/>
      <c r="M147" s="26" t="s">
        <v>707</v>
      </c>
      <c r="N147" s="20" t="s">
        <v>389</v>
      </c>
      <c r="O147" s="20" t="s">
        <v>389</v>
      </c>
      <c r="P147" s="20" t="s">
        <v>389</v>
      </c>
      <c r="Q147" s="134" t="s">
        <v>389</v>
      </c>
      <c r="R147" s="25"/>
    </row>
    <row r="148" spans="1:18" x14ac:dyDescent="0.25">
      <c r="A148" s="132">
        <v>138</v>
      </c>
      <c r="B148" s="132" t="s">
        <v>400</v>
      </c>
      <c r="C148" s="124">
        <v>1</v>
      </c>
      <c r="D148" s="125" t="s">
        <v>575</v>
      </c>
      <c r="E148" s="125" t="s">
        <v>580</v>
      </c>
      <c r="F148" s="159" t="s">
        <v>1608</v>
      </c>
      <c r="G148" s="124">
        <v>40</v>
      </c>
      <c r="H148" s="124">
        <v>40</v>
      </c>
      <c r="I148" s="51" t="s">
        <v>125</v>
      </c>
      <c r="J148" s="126" t="s">
        <v>707</v>
      </c>
      <c r="K148" s="52" t="s">
        <v>707</v>
      </c>
      <c r="L148" s="133"/>
      <c r="M148" s="26" t="s">
        <v>707</v>
      </c>
      <c r="N148" s="20" t="s">
        <v>389</v>
      </c>
      <c r="O148" s="20" t="s">
        <v>389</v>
      </c>
      <c r="P148" s="20" t="s">
        <v>389</v>
      </c>
      <c r="Q148" s="134" t="s">
        <v>389</v>
      </c>
      <c r="R148" s="25"/>
    </row>
    <row r="149" spans="1:18" ht="40.5" x14ac:dyDescent="0.25">
      <c r="A149" s="132">
        <v>139</v>
      </c>
      <c r="B149" s="132" t="s">
        <v>582</v>
      </c>
      <c r="C149" s="124">
        <v>1</v>
      </c>
      <c r="D149" s="125" t="s">
        <v>89</v>
      </c>
      <c r="E149" s="125" t="s">
        <v>90</v>
      </c>
      <c r="F149" s="159" t="s">
        <v>1624</v>
      </c>
      <c r="G149" s="124">
        <v>1</v>
      </c>
      <c r="H149" s="124">
        <v>1</v>
      </c>
      <c r="I149" s="51"/>
      <c r="J149" s="126" t="s">
        <v>583</v>
      </c>
      <c r="K149" s="52" t="s">
        <v>707</v>
      </c>
      <c r="L149" s="133" t="s">
        <v>584</v>
      </c>
      <c r="M149" s="26" t="s">
        <v>1168</v>
      </c>
      <c r="N149" s="20" t="s">
        <v>389</v>
      </c>
      <c r="O149" s="20" t="s">
        <v>389</v>
      </c>
      <c r="P149" s="20" t="s">
        <v>389</v>
      </c>
      <c r="Q149" s="134" t="s">
        <v>389</v>
      </c>
      <c r="R149" s="25"/>
    </row>
    <row r="150" spans="1:18" x14ac:dyDescent="0.25">
      <c r="A150" s="132">
        <v>140</v>
      </c>
      <c r="B150" s="132" t="s">
        <v>582</v>
      </c>
      <c r="C150" s="124">
        <v>1</v>
      </c>
      <c r="D150" s="125" t="s">
        <v>39</v>
      </c>
      <c r="E150" s="125" t="s">
        <v>40</v>
      </c>
      <c r="F150" s="159" t="s">
        <v>1625</v>
      </c>
      <c r="G150" s="124">
        <v>2</v>
      </c>
      <c r="H150" s="124">
        <v>2</v>
      </c>
      <c r="I150" s="51"/>
      <c r="J150" s="126" t="s">
        <v>1037</v>
      </c>
      <c r="K150" s="52" t="s">
        <v>707</v>
      </c>
      <c r="L150" s="133" t="s">
        <v>585</v>
      </c>
      <c r="M150" s="26" t="s">
        <v>1149</v>
      </c>
      <c r="N150" s="20" t="s">
        <v>715</v>
      </c>
      <c r="O150" s="20" t="s">
        <v>389</v>
      </c>
      <c r="P150" s="20" t="s">
        <v>715</v>
      </c>
      <c r="Q150" s="134" t="s">
        <v>389</v>
      </c>
      <c r="R150" s="25"/>
    </row>
    <row r="151" spans="1:18" ht="27" x14ac:dyDescent="0.25">
      <c r="A151" s="132">
        <v>141</v>
      </c>
      <c r="B151" s="132" t="s">
        <v>582</v>
      </c>
      <c r="C151" s="124">
        <v>1</v>
      </c>
      <c r="D151" s="125" t="s">
        <v>93</v>
      </c>
      <c r="E151" s="125" t="s">
        <v>100</v>
      </c>
      <c r="F151" s="159" t="s">
        <v>1626</v>
      </c>
      <c r="G151" s="124">
        <v>2</v>
      </c>
      <c r="H151" s="124">
        <v>2</v>
      </c>
      <c r="I151" s="51"/>
      <c r="J151" s="126" t="s">
        <v>586</v>
      </c>
      <c r="K151" s="52" t="s">
        <v>707</v>
      </c>
      <c r="L151" s="133" t="s">
        <v>587</v>
      </c>
      <c r="M151" s="26" t="s">
        <v>1141</v>
      </c>
      <c r="N151" s="20" t="s">
        <v>389</v>
      </c>
      <c r="O151" s="20" t="s">
        <v>715</v>
      </c>
      <c r="P151" s="20" t="s">
        <v>715</v>
      </c>
      <c r="Q151" s="134" t="s">
        <v>389</v>
      </c>
      <c r="R151" s="25"/>
    </row>
    <row r="152" spans="1:18" ht="27" x14ac:dyDescent="0.25">
      <c r="A152" s="132">
        <v>142</v>
      </c>
      <c r="B152" s="132" t="s">
        <v>582</v>
      </c>
      <c r="C152" s="124">
        <v>1</v>
      </c>
      <c r="D152" s="125" t="s">
        <v>93</v>
      </c>
      <c r="E152" s="125" t="s">
        <v>94</v>
      </c>
      <c r="F152" s="159" t="s">
        <v>1627</v>
      </c>
      <c r="G152" s="124">
        <v>1</v>
      </c>
      <c r="H152" s="124">
        <v>1</v>
      </c>
      <c r="I152" s="51"/>
      <c r="J152" s="126" t="s">
        <v>588</v>
      </c>
      <c r="K152" s="52" t="s">
        <v>707</v>
      </c>
      <c r="L152" s="133" t="s">
        <v>589</v>
      </c>
      <c r="M152" s="26" t="s">
        <v>1142</v>
      </c>
      <c r="N152" s="20" t="s">
        <v>389</v>
      </c>
      <c r="O152" s="20" t="s">
        <v>715</v>
      </c>
      <c r="P152" s="20" t="s">
        <v>715</v>
      </c>
      <c r="Q152" s="134" t="s">
        <v>389</v>
      </c>
      <c r="R152" s="25"/>
    </row>
    <row r="153" spans="1:18" ht="40.5" x14ac:dyDescent="0.25">
      <c r="A153" s="132">
        <v>143</v>
      </c>
      <c r="B153" s="132" t="s">
        <v>582</v>
      </c>
      <c r="C153" s="124">
        <v>1</v>
      </c>
      <c r="D153" s="125" t="s">
        <v>91</v>
      </c>
      <c r="E153" s="125" t="s">
        <v>92</v>
      </c>
      <c r="F153" s="159" t="s">
        <v>1628</v>
      </c>
      <c r="G153" s="124">
        <v>1</v>
      </c>
      <c r="H153" s="124">
        <v>1</v>
      </c>
      <c r="I153" s="51"/>
      <c r="J153" s="126" t="s">
        <v>590</v>
      </c>
      <c r="K153" s="52" t="s">
        <v>707</v>
      </c>
      <c r="L153" s="133" t="s">
        <v>591</v>
      </c>
      <c r="M153" s="26" t="s">
        <v>1144</v>
      </c>
      <c r="N153" s="20" t="s">
        <v>389</v>
      </c>
      <c r="O153" s="20" t="s">
        <v>389</v>
      </c>
      <c r="P153" s="20" t="s">
        <v>715</v>
      </c>
      <c r="Q153" s="134" t="s">
        <v>389</v>
      </c>
      <c r="R153" s="25"/>
    </row>
    <row r="154" spans="1:18" ht="67.5" x14ac:dyDescent="0.25">
      <c r="A154" s="132">
        <v>144</v>
      </c>
      <c r="B154" s="132" t="s">
        <v>582</v>
      </c>
      <c r="C154" s="124">
        <v>1</v>
      </c>
      <c r="D154" s="125" t="s">
        <v>29</v>
      </c>
      <c r="E154" s="125" t="s">
        <v>103</v>
      </c>
      <c r="F154" s="159" t="s">
        <v>1629</v>
      </c>
      <c r="G154" s="124">
        <v>2</v>
      </c>
      <c r="H154" s="124">
        <v>2</v>
      </c>
      <c r="I154" s="51"/>
      <c r="J154" s="126" t="s">
        <v>586</v>
      </c>
      <c r="K154" s="52" t="s">
        <v>707</v>
      </c>
      <c r="L154" s="133" t="s">
        <v>592</v>
      </c>
      <c r="M154" s="26" t="s">
        <v>1140</v>
      </c>
      <c r="N154" s="20" t="s">
        <v>389</v>
      </c>
      <c r="O154" s="20" t="s">
        <v>389</v>
      </c>
      <c r="P154" s="20" t="s">
        <v>715</v>
      </c>
      <c r="Q154" s="134" t="s">
        <v>389</v>
      </c>
      <c r="R154" s="25"/>
    </row>
    <row r="155" spans="1:18" ht="54" x14ac:dyDescent="0.25">
      <c r="A155" s="132">
        <v>145</v>
      </c>
      <c r="B155" s="132" t="s">
        <v>582</v>
      </c>
      <c r="C155" s="124">
        <v>1</v>
      </c>
      <c r="D155" s="125" t="s">
        <v>29</v>
      </c>
      <c r="E155" s="125" t="s">
        <v>95</v>
      </c>
      <c r="F155" s="159" t="s">
        <v>1630</v>
      </c>
      <c r="G155" s="124">
        <v>1</v>
      </c>
      <c r="H155" s="124">
        <v>1</v>
      </c>
      <c r="I155" s="51"/>
      <c r="J155" s="126" t="s">
        <v>588</v>
      </c>
      <c r="K155" s="52" t="s">
        <v>707</v>
      </c>
      <c r="L155" s="133" t="s">
        <v>593</v>
      </c>
      <c r="M155" s="26" t="s">
        <v>1143</v>
      </c>
      <c r="N155" s="20" t="s">
        <v>389</v>
      </c>
      <c r="O155" s="20" t="s">
        <v>389</v>
      </c>
      <c r="P155" s="20" t="s">
        <v>715</v>
      </c>
      <c r="Q155" s="134" t="s">
        <v>389</v>
      </c>
      <c r="R155" s="25"/>
    </row>
    <row r="156" spans="1:18" ht="27" x14ac:dyDescent="0.25">
      <c r="A156" s="132">
        <v>146</v>
      </c>
      <c r="B156" s="132" t="s">
        <v>582</v>
      </c>
      <c r="C156" s="124">
        <v>1</v>
      </c>
      <c r="D156" s="125" t="s">
        <v>594</v>
      </c>
      <c r="E156" s="125" t="s">
        <v>595</v>
      </c>
      <c r="F156" s="159" t="s">
        <v>1631</v>
      </c>
      <c r="G156" s="124">
        <v>2</v>
      </c>
      <c r="H156" s="124">
        <v>2</v>
      </c>
      <c r="I156" s="51"/>
      <c r="J156" s="126" t="s">
        <v>586</v>
      </c>
      <c r="K156" s="52" t="s">
        <v>707</v>
      </c>
      <c r="L156" s="133" t="s">
        <v>596</v>
      </c>
      <c r="M156" s="26" t="s">
        <v>707</v>
      </c>
      <c r="N156" s="20" t="s">
        <v>389</v>
      </c>
      <c r="O156" s="20" t="s">
        <v>389</v>
      </c>
      <c r="P156" s="20" t="s">
        <v>389</v>
      </c>
      <c r="Q156" s="134" t="s">
        <v>389</v>
      </c>
      <c r="R156" s="25"/>
    </row>
    <row r="157" spans="1:18" ht="27" x14ac:dyDescent="0.25">
      <c r="A157" s="132">
        <v>147</v>
      </c>
      <c r="B157" s="132" t="s">
        <v>582</v>
      </c>
      <c r="C157" s="124">
        <v>1</v>
      </c>
      <c r="D157" s="125" t="s">
        <v>594</v>
      </c>
      <c r="E157" s="125" t="s">
        <v>597</v>
      </c>
      <c r="F157" s="159" t="s">
        <v>1632</v>
      </c>
      <c r="G157" s="124">
        <v>1</v>
      </c>
      <c r="H157" s="124">
        <v>1</v>
      </c>
      <c r="I157" s="51"/>
      <c r="J157" s="126" t="s">
        <v>588</v>
      </c>
      <c r="K157" s="52" t="s">
        <v>707</v>
      </c>
      <c r="L157" s="133" t="s">
        <v>598</v>
      </c>
      <c r="M157" s="26" t="s">
        <v>707</v>
      </c>
      <c r="N157" s="20" t="s">
        <v>389</v>
      </c>
      <c r="O157" s="20" t="s">
        <v>389</v>
      </c>
      <c r="P157" s="20" t="s">
        <v>389</v>
      </c>
      <c r="Q157" s="134" t="s">
        <v>389</v>
      </c>
      <c r="R157" s="25"/>
    </row>
    <row r="158" spans="1:18" x14ac:dyDescent="0.25">
      <c r="A158" s="132">
        <v>148</v>
      </c>
      <c r="B158" s="132" t="s">
        <v>582</v>
      </c>
      <c r="C158" s="124">
        <v>1</v>
      </c>
      <c r="D158" s="125" t="s">
        <v>594</v>
      </c>
      <c r="E158" s="125" t="s">
        <v>599</v>
      </c>
      <c r="F158" s="159" t="s">
        <v>1633</v>
      </c>
      <c r="G158" s="124">
        <v>2</v>
      </c>
      <c r="H158" s="124">
        <v>2</v>
      </c>
      <c r="I158" s="51"/>
      <c r="J158" s="126" t="s">
        <v>586</v>
      </c>
      <c r="K158" s="52" t="s">
        <v>707</v>
      </c>
      <c r="L158" s="133" t="s">
        <v>600</v>
      </c>
      <c r="M158" s="26" t="s">
        <v>707</v>
      </c>
      <c r="N158" s="20" t="s">
        <v>389</v>
      </c>
      <c r="O158" s="20" t="s">
        <v>389</v>
      </c>
      <c r="P158" s="20" t="s">
        <v>389</v>
      </c>
      <c r="Q158" s="134" t="s">
        <v>389</v>
      </c>
      <c r="R158" s="25"/>
    </row>
    <row r="159" spans="1:18" ht="27" x14ac:dyDescent="0.25">
      <c r="A159" s="132">
        <v>149</v>
      </c>
      <c r="B159" s="132" t="s">
        <v>582</v>
      </c>
      <c r="C159" s="124">
        <v>1</v>
      </c>
      <c r="D159" s="125" t="s">
        <v>594</v>
      </c>
      <c r="E159" s="125" t="s">
        <v>601</v>
      </c>
      <c r="F159" s="159" t="s">
        <v>1634</v>
      </c>
      <c r="G159" s="124">
        <v>2</v>
      </c>
      <c r="H159" s="124">
        <v>2</v>
      </c>
      <c r="I159" s="51"/>
      <c r="J159" s="126" t="s">
        <v>586</v>
      </c>
      <c r="K159" s="52" t="s">
        <v>707</v>
      </c>
      <c r="L159" s="133" t="s">
        <v>602</v>
      </c>
      <c r="M159" s="26" t="s">
        <v>707</v>
      </c>
      <c r="N159" s="20" t="s">
        <v>389</v>
      </c>
      <c r="O159" s="20" t="s">
        <v>389</v>
      </c>
      <c r="P159" s="20" t="s">
        <v>389</v>
      </c>
      <c r="Q159" s="134" t="s">
        <v>389</v>
      </c>
      <c r="R159" s="25"/>
    </row>
    <row r="160" spans="1:18" x14ac:dyDescent="0.25">
      <c r="A160" s="132">
        <v>150</v>
      </c>
      <c r="B160" s="132" t="s">
        <v>582</v>
      </c>
      <c r="C160" s="124">
        <v>1</v>
      </c>
      <c r="D160" s="125" t="s">
        <v>594</v>
      </c>
      <c r="E160" s="125" t="s">
        <v>603</v>
      </c>
      <c r="F160" s="159" t="s">
        <v>1635</v>
      </c>
      <c r="G160" s="124">
        <v>2</v>
      </c>
      <c r="H160" s="124">
        <v>2</v>
      </c>
      <c r="I160" s="51"/>
      <c r="J160" s="126" t="s">
        <v>586</v>
      </c>
      <c r="K160" s="52" t="s">
        <v>707</v>
      </c>
      <c r="L160" s="133" t="s">
        <v>604</v>
      </c>
      <c r="M160" s="26" t="s">
        <v>707</v>
      </c>
      <c r="N160" s="20" t="s">
        <v>389</v>
      </c>
      <c r="O160" s="20" t="s">
        <v>389</v>
      </c>
      <c r="P160" s="20" t="s">
        <v>389</v>
      </c>
      <c r="Q160" s="134" t="s">
        <v>389</v>
      </c>
      <c r="R160" s="25"/>
    </row>
    <row r="161" spans="1:18" x14ac:dyDescent="0.25">
      <c r="A161" s="132">
        <v>151</v>
      </c>
      <c r="B161" s="132" t="s">
        <v>582</v>
      </c>
      <c r="C161" s="124">
        <v>1</v>
      </c>
      <c r="D161" s="125" t="s">
        <v>594</v>
      </c>
      <c r="E161" s="125" t="s">
        <v>605</v>
      </c>
      <c r="F161" s="159" t="s">
        <v>1636</v>
      </c>
      <c r="G161" s="124">
        <v>1</v>
      </c>
      <c r="H161" s="124">
        <v>1</v>
      </c>
      <c r="I161" s="51"/>
      <c r="J161" s="126" t="s">
        <v>588</v>
      </c>
      <c r="K161" s="52" t="s">
        <v>707</v>
      </c>
      <c r="L161" s="133" t="s">
        <v>606</v>
      </c>
      <c r="M161" s="26" t="s">
        <v>707</v>
      </c>
      <c r="N161" s="20" t="s">
        <v>389</v>
      </c>
      <c r="O161" s="20" t="s">
        <v>389</v>
      </c>
      <c r="P161" s="20" t="s">
        <v>389</v>
      </c>
      <c r="Q161" s="134" t="s">
        <v>389</v>
      </c>
      <c r="R161" s="25"/>
    </row>
    <row r="162" spans="1:18" ht="27" x14ac:dyDescent="0.25">
      <c r="A162" s="132">
        <v>152</v>
      </c>
      <c r="B162" s="132" t="s">
        <v>582</v>
      </c>
      <c r="C162" s="124">
        <v>1</v>
      </c>
      <c r="D162" s="125" t="s">
        <v>594</v>
      </c>
      <c r="E162" s="125" t="s">
        <v>607</v>
      </c>
      <c r="F162" s="159" t="s">
        <v>1637</v>
      </c>
      <c r="G162" s="124">
        <v>1</v>
      </c>
      <c r="H162" s="124">
        <v>1</v>
      </c>
      <c r="I162" s="51"/>
      <c r="J162" s="126" t="s">
        <v>588</v>
      </c>
      <c r="K162" s="52" t="s">
        <v>707</v>
      </c>
      <c r="L162" s="133" t="s">
        <v>608</v>
      </c>
      <c r="M162" s="26" t="s">
        <v>707</v>
      </c>
      <c r="N162" s="20" t="s">
        <v>389</v>
      </c>
      <c r="O162" s="20" t="s">
        <v>389</v>
      </c>
      <c r="P162" s="20" t="s">
        <v>389</v>
      </c>
      <c r="Q162" s="134" t="s">
        <v>389</v>
      </c>
      <c r="R162" s="25"/>
    </row>
    <row r="163" spans="1:18" x14ac:dyDescent="0.25">
      <c r="A163" s="132">
        <v>153</v>
      </c>
      <c r="B163" s="132" t="s">
        <v>582</v>
      </c>
      <c r="C163" s="124">
        <v>1</v>
      </c>
      <c r="D163" s="125" t="s">
        <v>594</v>
      </c>
      <c r="E163" s="125" t="s">
        <v>609</v>
      </c>
      <c r="F163" s="159" t="s">
        <v>1638</v>
      </c>
      <c r="G163" s="124">
        <v>1</v>
      </c>
      <c r="H163" s="124">
        <v>1</v>
      </c>
      <c r="I163" s="51"/>
      <c r="J163" s="126" t="s">
        <v>588</v>
      </c>
      <c r="K163" s="52" t="s">
        <v>707</v>
      </c>
      <c r="L163" s="133" t="s">
        <v>610</v>
      </c>
      <c r="M163" s="26" t="s">
        <v>707</v>
      </c>
      <c r="N163" s="20" t="s">
        <v>389</v>
      </c>
      <c r="O163" s="20" t="s">
        <v>389</v>
      </c>
      <c r="P163" s="20" t="s">
        <v>389</v>
      </c>
      <c r="Q163" s="134" t="s">
        <v>389</v>
      </c>
      <c r="R163" s="25"/>
    </row>
    <row r="164" spans="1:18" x14ac:dyDescent="0.25">
      <c r="A164" s="132">
        <v>154</v>
      </c>
      <c r="B164" s="132" t="s">
        <v>582</v>
      </c>
      <c r="C164" s="124">
        <v>1</v>
      </c>
      <c r="D164" s="125" t="s">
        <v>594</v>
      </c>
      <c r="E164" s="125" t="s">
        <v>611</v>
      </c>
      <c r="F164" s="159" t="s">
        <v>1639</v>
      </c>
      <c r="G164" s="124">
        <v>4</v>
      </c>
      <c r="H164" s="124">
        <v>4</v>
      </c>
      <c r="I164" s="51"/>
      <c r="J164" s="126" t="s">
        <v>586</v>
      </c>
      <c r="K164" s="52" t="s">
        <v>707</v>
      </c>
      <c r="L164" s="133" t="s">
        <v>612</v>
      </c>
      <c r="M164" s="26" t="s">
        <v>707</v>
      </c>
      <c r="N164" s="20" t="s">
        <v>389</v>
      </c>
      <c r="O164" s="20" t="s">
        <v>389</v>
      </c>
      <c r="P164" s="20" t="s">
        <v>389</v>
      </c>
      <c r="Q164" s="134" t="s">
        <v>389</v>
      </c>
      <c r="R164" s="25"/>
    </row>
    <row r="165" spans="1:18" x14ac:dyDescent="0.25">
      <c r="A165" s="132">
        <v>155</v>
      </c>
      <c r="B165" s="132" t="s">
        <v>582</v>
      </c>
      <c r="C165" s="124">
        <v>1</v>
      </c>
      <c r="D165" s="125" t="s">
        <v>594</v>
      </c>
      <c r="E165" s="125" t="s">
        <v>613</v>
      </c>
      <c r="F165" s="159" t="s">
        <v>1640</v>
      </c>
      <c r="G165" s="124">
        <v>2</v>
      </c>
      <c r="H165" s="124">
        <v>2</v>
      </c>
      <c r="I165" s="51"/>
      <c r="J165" s="126" t="s">
        <v>588</v>
      </c>
      <c r="K165" s="52" t="s">
        <v>707</v>
      </c>
      <c r="L165" s="133" t="s">
        <v>614</v>
      </c>
      <c r="M165" s="26" t="s">
        <v>707</v>
      </c>
      <c r="N165" s="20" t="s">
        <v>389</v>
      </c>
      <c r="O165" s="20" t="s">
        <v>389</v>
      </c>
      <c r="P165" s="20" t="s">
        <v>389</v>
      </c>
      <c r="Q165" s="134" t="s">
        <v>389</v>
      </c>
      <c r="R165" s="25"/>
    </row>
    <row r="166" spans="1:18" ht="40.5" x14ac:dyDescent="0.25">
      <c r="A166" s="132">
        <v>156</v>
      </c>
      <c r="B166" s="132" t="s">
        <v>582</v>
      </c>
      <c r="C166" s="124">
        <v>1</v>
      </c>
      <c r="D166" s="125" t="s">
        <v>24</v>
      </c>
      <c r="E166" s="125" t="s">
        <v>25</v>
      </c>
      <c r="F166" s="159" t="s">
        <v>1641</v>
      </c>
      <c r="G166" s="124">
        <v>1</v>
      </c>
      <c r="H166" s="124">
        <v>1</v>
      </c>
      <c r="I166" s="51"/>
      <c r="J166" s="126" t="s">
        <v>588</v>
      </c>
      <c r="K166" s="52" t="s">
        <v>707</v>
      </c>
      <c r="L166" s="133" t="s">
        <v>615</v>
      </c>
      <c r="M166" s="26" t="s">
        <v>23</v>
      </c>
      <c r="N166" s="20" t="s">
        <v>389</v>
      </c>
      <c r="O166" s="20" t="s">
        <v>389</v>
      </c>
      <c r="P166" s="20" t="s">
        <v>715</v>
      </c>
      <c r="Q166" s="134" t="s">
        <v>389</v>
      </c>
      <c r="R166" s="25"/>
    </row>
    <row r="167" spans="1:18" ht="40.5" x14ac:dyDescent="0.25">
      <c r="A167" s="132">
        <v>157</v>
      </c>
      <c r="B167" s="132" t="s">
        <v>582</v>
      </c>
      <c r="C167" s="124">
        <v>1</v>
      </c>
      <c r="D167" s="125" t="s">
        <v>24</v>
      </c>
      <c r="E167" s="125" t="s">
        <v>34</v>
      </c>
      <c r="F167" s="159" t="s">
        <v>1642</v>
      </c>
      <c r="G167" s="124">
        <v>2</v>
      </c>
      <c r="H167" s="124">
        <v>2</v>
      </c>
      <c r="I167" s="51"/>
      <c r="J167" s="126" t="s">
        <v>616</v>
      </c>
      <c r="K167" s="52" t="s">
        <v>707</v>
      </c>
      <c r="L167" s="133" t="s">
        <v>617</v>
      </c>
      <c r="M167" s="26" t="s">
        <v>1124</v>
      </c>
      <c r="N167" s="20" t="s">
        <v>389</v>
      </c>
      <c r="O167" s="20" t="s">
        <v>389</v>
      </c>
      <c r="P167" s="20" t="s">
        <v>715</v>
      </c>
      <c r="Q167" s="134" t="s">
        <v>389</v>
      </c>
      <c r="R167" s="25"/>
    </row>
    <row r="168" spans="1:18" ht="27" x14ac:dyDescent="0.25">
      <c r="A168" s="132">
        <v>158</v>
      </c>
      <c r="B168" s="132" t="s">
        <v>582</v>
      </c>
      <c r="C168" s="124">
        <v>1</v>
      </c>
      <c r="D168" s="125" t="s">
        <v>24</v>
      </c>
      <c r="E168" s="125" t="s">
        <v>50</v>
      </c>
      <c r="F168" s="159" t="s">
        <v>1643</v>
      </c>
      <c r="G168" s="124">
        <v>4</v>
      </c>
      <c r="H168" s="124">
        <v>4</v>
      </c>
      <c r="I168" s="51"/>
      <c r="J168" s="126" t="s">
        <v>618</v>
      </c>
      <c r="K168" s="52" t="s">
        <v>707</v>
      </c>
      <c r="L168" s="133" t="s">
        <v>619</v>
      </c>
      <c r="M168" s="26" t="s">
        <v>1125</v>
      </c>
      <c r="N168" s="20" t="s">
        <v>389</v>
      </c>
      <c r="O168" s="20" t="s">
        <v>389</v>
      </c>
      <c r="P168" s="20" t="s">
        <v>715</v>
      </c>
      <c r="Q168" s="134" t="s">
        <v>389</v>
      </c>
      <c r="R168" s="25"/>
    </row>
    <row r="169" spans="1:18" ht="54" x14ac:dyDescent="0.25">
      <c r="A169" s="132">
        <v>159</v>
      </c>
      <c r="B169" s="132" t="s">
        <v>582</v>
      </c>
      <c r="C169" s="124">
        <v>1</v>
      </c>
      <c r="D169" s="125" t="s">
        <v>29</v>
      </c>
      <c r="E169" s="125" t="s">
        <v>620</v>
      </c>
      <c r="F169" s="159" t="s">
        <v>1644</v>
      </c>
      <c r="G169" s="124">
        <v>4</v>
      </c>
      <c r="H169" s="124">
        <v>4</v>
      </c>
      <c r="I169" s="51"/>
      <c r="J169" s="126" t="s">
        <v>618</v>
      </c>
      <c r="K169" s="52" t="s">
        <v>707</v>
      </c>
      <c r="L169" s="133" t="s">
        <v>621</v>
      </c>
      <c r="M169" s="26" t="s">
        <v>1154</v>
      </c>
      <c r="N169" s="20" t="s">
        <v>389</v>
      </c>
      <c r="O169" s="20" t="s">
        <v>389</v>
      </c>
      <c r="P169" s="20" t="s">
        <v>389</v>
      </c>
      <c r="Q169" s="134" t="s">
        <v>389</v>
      </c>
      <c r="R169" s="25"/>
    </row>
    <row r="170" spans="1:18" ht="27" x14ac:dyDescent="0.25">
      <c r="A170" s="132">
        <v>160</v>
      </c>
      <c r="B170" s="132" t="s">
        <v>582</v>
      </c>
      <c r="C170" s="124">
        <v>1</v>
      </c>
      <c r="D170" s="125" t="s">
        <v>29</v>
      </c>
      <c r="E170" s="125" t="s">
        <v>622</v>
      </c>
      <c r="F170" s="159" t="s">
        <v>1645</v>
      </c>
      <c r="G170" s="124">
        <v>4</v>
      </c>
      <c r="H170" s="124">
        <v>4</v>
      </c>
      <c r="I170" s="51"/>
      <c r="J170" s="126" t="s">
        <v>618</v>
      </c>
      <c r="K170" s="52" t="s">
        <v>707</v>
      </c>
      <c r="L170" s="133" t="s">
        <v>623</v>
      </c>
      <c r="M170" s="26"/>
      <c r="N170" s="20" t="s">
        <v>389</v>
      </c>
      <c r="O170" s="20" t="s">
        <v>389</v>
      </c>
      <c r="P170" s="20" t="s">
        <v>389</v>
      </c>
      <c r="Q170" s="134" t="s">
        <v>389</v>
      </c>
      <c r="R170" s="25"/>
    </row>
    <row r="171" spans="1:18" ht="30" x14ac:dyDescent="0.25">
      <c r="A171" s="132">
        <v>161</v>
      </c>
      <c r="B171" s="132" t="s">
        <v>582</v>
      </c>
      <c r="C171" s="124">
        <v>1</v>
      </c>
      <c r="D171" s="125" t="s">
        <v>29</v>
      </c>
      <c r="E171" s="125" t="s">
        <v>30</v>
      </c>
      <c r="F171" s="159" t="s">
        <v>1646</v>
      </c>
      <c r="G171" s="124">
        <v>2</v>
      </c>
      <c r="H171" s="124">
        <v>2</v>
      </c>
      <c r="I171" s="51"/>
      <c r="J171" s="126" t="s">
        <v>624</v>
      </c>
      <c r="K171" s="52" t="s">
        <v>707</v>
      </c>
      <c r="L171" s="133" t="s">
        <v>625</v>
      </c>
      <c r="M171" s="26" t="s">
        <v>1147</v>
      </c>
      <c r="N171" s="20" t="s">
        <v>389</v>
      </c>
      <c r="O171" s="20" t="s">
        <v>389</v>
      </c>
      <c r="P171" s="20" t="s">
        <v>389</v>
      </c>
      <c r="Q171" s="134" t="s">
        <v>389</v>
      </c>
      <c r="R171" s="25"/>
    </row>
    <row r="172" spans="1:18" ht="40.5" x14ac:dyDescent="0.25">
      <c r="A172" s="132">
        <v>162</v>
      </c>
      <c r="B172" s="132" t="s">
        <v>582</v>
      </c>
      <c r="C172" s="124">
        <v>1</v>
      </c>
      <c r="D172" s="125" t="s">
        <v>29</v>
      </c>
      <c r="E172" s="125" t="s">
        <v>97</v>
      </c>
      <c r="F172" s="159" t="s">
        <v>1647</v>
      </c>
      <c r="G172" s="124">
        <v>2</v>
      </c>
      <c r="H172" s="124">
        <v>2</v>
      </c>
      <c r="I172" s="51"/>
      <c r="J172" s="126" t="s">
        <v>616</v>
      </c>
      <c r="K172" s="52" t="s">
        <v>707</v>
      </c>
      <c r="L172" s="133" t="s">
        <v>626</v>
      </c>
      <c r="M172" s="26" t="s">
        <v>1172</v>
      </c>
      <c r="N172" s="20" t="s">
        <v>389</v>
      </c>
      <c r="O172" s="20" t="s">
        <v>389</v>
      </c>
      <c r="P172" s="20" t="s">
        <v>389</v>
      </c>
      <c r="Q172" s="134" t="s">
        <v>389</v>
      </c>
      <c r="R172" s="25"/>
    </row>
    <row r="173" spans="1:18" ht="40.5" x14ac:dyDescent="0.25">
      <c r="A173" s="132">
        <v>163</v>
      </c>
      <c r="B173" s="132" t="s">
        <v>582</v>
      </c>
      <c r="C173" s="124">
        <v>1</v>
      </c>
      <c r="D173" s="125" t="s">
        <v>27</v>
      </c>
      <c r="E173" s="125" t="s">
        <v>627</v>
      </c>
      <c r="F173" s="159" t="s">
        <v>1648</v>
      </c>
      <c r="G173" s="124">
        <v>2</v>
      </c>
      <c r="H173" s="124">
        <v>2</v>
      </c>
      <c r="I173" s="51"/>
      <c r="J173" s="126" t="s">
        <v>628</v>
      </c>
      <c r="K173" s="52" t="s">
        <v>707</v>
      </c>
      <c r="L173" s="133" t="s">
        <v>629</v>
      </c>
      <c r="M173" s="26" t="s">
        <v>1170</v>
      </c>
      <c r="N173" s="20" t="s">
        <v>389</v>
      </c>
      <c r="O173" s="20" t="s">
        <v>389</v>
      </c>
      <c r="P173" s="20" t="s">
        <v>389</v>
      </c>
      <c r="Q173" s="134" t="s">
        <v>389</v>
      </c>
      <c r="R173" s="25"/>
    </row>
    <row r="174" spans="1:18" ht="27" x14ac:dyDescent="0.25">
      <c r="A174" s="132">
        <v>164</v>
      </c>
      <c r="B174" s="132" t="s">
        <v>582</v>
      </c>
      <c r="C174" s="124">
        <v>1</v>
      </c>
      <c r="D174" s="125" t="s">
        <v>27</v>
      </c>
      <c r="E174" s="125" t="s">
        <v>630</v>
      </c>
      <c r="F174" s="159" t="s">
        <v>1649</v>
      </c>
      <c r="G174" s="124">
        <v>2</v>
      </c>
      <c r="H174" s="124">
        <v>2</v>
      </c>
      <c r="I174" s="51"/>
      <c r="J174" s="126" t="s">
        <v>628</v>
      </c>
      <c r="K174" s="52" t="s">
        <v>707</v>
      </c>
      <c r="L174" s="133" t="s">
        <v>631</v>
      </c>
      <c r="M174" s="26" t="s">
        <v>707</v>
      </c>
      <c r="N174" s="20" t="s">
        <v>389</v>
      </c>
      <c r="O174" s="20" t="s">
        <v>389</v>
      </c>
      <c r="P174" s="20" t="s">
        <v>389</v>
      </c>
      <c r="Q174" s="134" t="s">
        <v>389</v>
      </c>
      <c r="R174" s="25"/>
    </row>
    <row r="175" spans="1:18" ht="27" x14ac:dyDescent="0.25">
      <c r="A175" s="132">
        <v>165</v>
      </c>
      <c r="B175" s="132" t="s">
        <v>582</v>
      </c>
      <c r="C175" s="124">
        <v>1</v>
      </c>
      <c r="D175" s="125" t="s">
        <v>27</v>
      </c>
      <c r="E175" s="125" t="s">
        <v>632</v>
      </c>
      <c r="F175" s="159" t="s">
        <v>1650</v>
      </c>
      <c r="G175" s="124">
        <v>2</v>
      </c>
      <c r="H175" s="124">
        <v>2</v>
      </c>
      <c r="I175" s="51"/>
      <c r="J175" s="126" t="s">
        <v>628</v>
      </c>
      <c r="K175" s="52" t="s">
        <v>707</v>
      </c>
      <c r="L175" s="133" t="s">
        <v>633</v>
      </c>
      <c r="M175" s="26" t="s">
        <v>707</v>
      </c>
      <c r="N175" s="20" t="s">
        <v>389</v>
      </c>
      <c r="O175" s="20" t="s">
        <v>389</v>
      </c>
      <c r="P175" s="20" t="s">
        <v>389</v>
      </c>
      <c r="Q175" s="134" t="s">
        <v>389</v>
      </c>
      <c r="R175" s="25"/>
    </row>
    <row r="176" spans="1:18" ht="40.5" x14ac:dyDescent="0.25">
      <c r="A176" s="132">
        <v>166</v>
      </c>
      <c r="B176" s="132" t="s">
        <v>582</v>
      </c>
      <c r="C176" s="124">
        <v>1</v>
      </c>
      <c r="D176" s="125" t="s">
        <v>27</v>
      </c>
      <c r="E176" s="125" t="s">
        <v>634</v>
      </c>
      <c r="F176" s="159" t="s">
        <v>1651</v>
      </c>
      <c r="G176" s="124">
        <v>1</v>
      </c>
      <c r="H176" s="124">
        <v>1</v>
      </c>
      <c r="I176" s="51"/>
      <c r="J176" s="126" t="s">
        <v>635</v>
      </c>
      <c r="K176" s="52" t="s">
        <v>707</v>
      </c>
      <c r="L176" s="133" t="s">
        <v>636</v>
      </c>
      <c r="M176" s="26" t="s">
        <v>1169</v>
      </c>
      <c r="N176" s="20" t="s">
        <v>389</v>
      </c>
      <c r="O176" s="20" t="s">
        <v>389</v>
      </c>
      <c r="P176" s="20" t="s">
        <v>389</v>
      </c>
      <c r="Q176" s="134" t="s">
        <v>389</v>
      </c>
      <c r="R176" s="25"/>
    </row>
    <row r="177" spans="1:18" x14ac:dyDescent="0.25">
      <c r="A177" s="132">
        <v>167</v>
      </c>
      <c r="B177" s="132" t="s">
        <v>582</v>
      </c>
      <c r="C177" s="124">
        <v>1</v>
      </c>
      <c r="D177" s="125" t="s">
        <v>27</v>
      </c>
      <c r="E177" s="125" t="s">
        <v>637</v>
      </c>
      <c r="F177" s="159" t="s">
        <v>1652</v>
      </c>
      <c r="G177" s="124">
        <v>1</v>
      </c>
      <c r="H177" s="124">
        <v>1</v>
      </c>
      <c r="I177" s="51"/>
      <c r="J177" s="126" t="s">
        <v>635</v>
      </c>
      <c r="K177" s="52" t="s">
        <v>707</v>
      </c>
      <c r="L177" s="133" t="s">
        <v>638</v>
      </c>
      <c r="M177" s="26"/>
      <c r="N177" s="20" t="s">
        <v>389</v>
      </c>
      <c r="O177" s="20" t="s">
        <v>389</v>
      </c>
      <c r="P177" s="20" t="s">
        <v>389</v>
      </c>
      <c r="Q177" s="134" t="s">
        <v>389</v>
      </c>
      <c r="R177" s="25"/>
    </row>
    <row r="178" spans="1:18" ht="27" x14ac:dyDescent="0.25">
      <c r="A178" s="132">
        <v>168</v>
      </c>
      <c r="B178" s="132" t="s">
        <v>582</v>
      </c>
      <c r="C178" s="124">
        <v>1</v>
      </c>
      <c r="D178" s="125" t="s">
        <v>27</v>
      </c>
      <c r="E178" s="125" t="s">
        <v>639</v>
      </c>
      <c r="F178" s="159" t="s">
        <v>1653</v>
      </c>
      <c r="G178" s="124">
        <v>1</v>
      </c>
      <c r="H178" s="124">
        <v>1</v>
      </c>
      <c r="I178" s="51"/>
      <c r="J178" s="126" t="s">
        <v>635</v>
      </c>
      <c r="K178" s="52" t="s">
        <v>707</v>
      </c>
      <c r="L178" s="133" t="s">
        <v>640</v>
      </c>
      <c r="M178" s="26"/>
      <c r="N178" s="20" t="s">
        <v>389</v>
      </c>
      <c r="O178" s="20" t="s">
        <v>389</v>
      </c>
      <c r="P178" s="20" t="s">
        <v>389</v>
      </c>
      <c r="Q178" s="134" t="s">
        <v>389</v>
      </c>
      <c r="R178" s="25"/>
    </row>
    <row r="179" spans="1:18" ht="40.5" x14ac:dyDescent="0.25">
      <c r="A179" s="132">
        <v>169</v>
      </c>
      <c r="B179" s="132" t="s">
        <v>582</v>
      </c>
      <c r="C179" s="124">
        <v>1</v>
      </c>
      <c r="D179" s="125" t="s">
        <v>27</v>
      </c>
      <c r="E179" s="125" t="s">
        <v>28</v>
      </c>
      <c r="F179" s="159" t="s">
        <v>1654</v>
      </c>
      <c r="G179" s="124">
        <v>3</v>
      </c>
      <c r="H179" s="124">
        <v>3</v>
      </c>
      <c r="I179" s="51"/>
      <c r="J179" s="126" t="s">
        <v>641</v>
      </c>
      <c r="K179" s="52" t="s">
        <v>707</v>
      </c>
      <c r="L179" s="133" t="s">
        <v>642</v>
      </c>
      <c r="M179" s="26" t="s">
        <v>1126</v>
      </c>
      <c r="N179" s="20" t="s">
        <v>715</v>
      </c>
      <c r="O179" s="20" t="s">
        <v>389</v>
      </c>
      <c r="P179" s="20" t="s">
        <v>389</v>
      </c>
      <c r="Q179" s="134" t="s">
        <v>389</v>
      </c>
      <c r="R179" s="25"/>
    </row>
    <row r="180" spans="1:18" ht="40.5" x14ac:dyDescent="0.25">
      <c r="A180" s="132">
        <v>170</v>
      </c>
      <c r="B180" s="132" t="s">
        <v>582</v>
      </c>
      <c r="C180" s="124">
        <v>1</v>
      </c>
      <c r="D180" s="125" t="s">
        <v>96</v>
      </c>
      <c r="E180" s="125" t="s">
        <v>101</v>
      </c>
      <c r="F180" s="159" t="s">
        <v>1655</v>
      </c>
      <c r="G180" s="124">
        <v>2</v>
      </c>
      <c r="H180" s="124">
        <v>2</v>
      </c>
      <c r="I180" s="51"/>
      <c r="J180" s="126" t="s">
        <v>624</v>
      </c>
      <c r="K180" s="52" t="s">
        <v>707</v>
      </c>
      <c r="L180" s="133" t="s">
        <v>643</v>
      </c>
      <c r="M180" s="26" t="s">
        <v>1152</v>
      </c>
      <c r="N180" s="20" t="s">
        <v>389</v>
      </c>
      <c r="O180" s="20" t="s">
        <v>389</v>
      </c>
      <c r="P180" s="20" t="s">
        <v>389</v>
      </c>
      <c r="Q180" s="134" t="s">
        <v>389</v>
      </c>
      <c r="R180" s="25"/>
    </row>
    <row r="181" spans="1:18" x14ac:dyDescent="0.25">
      <c r="A181" s="132">
        <v>171</v>
      </c>
      <c r="B181" s="132" t="s">
        <v>582</v>
      </c>
      <c r="C181" s="124">
        <v>1</v>
      </c>
      <c r="D181" s="125" t="s">
        <v>96</v>
      </c>
      <c r="E181" s="125" t="s">
        <v>644</v>
      </c>
      <c r="F181" s="159" t="s">
        <v>1656</v>
      </c>
      <c r="G181" s="124">
        <v>2</v>
      </c>
      <c r="H181" s="124">
        <v>2</v>
      </c>
      <c r="I181" s="51"/>
      <c r="J181" s="126" t="s">
        <v>624</v>
      </c>
      <c r="K181" s="52" t="s">
        <v>707</v>
      </c>
      <c r="L181" s="133"/>
      <c r="M181" s="26" t="s">
        <v>1151</v>
      </c>
      <c r="N181" s="20" t="s">
        <v>389</v>
      </c>
      <c r="O181" s="20" t="s">
        <v>389</v>
      </c>
      <c r="P181" s="20" t="s">
        <v>389</v>
      </c>
      <c r="Q181" s="134" t="s">
        <v>389</v>
      </c>
      <c r="R181" s="25"/>
    </row>
    <row r="182" spans="1:18" x14ac:dyDescent="0.25">
      <c r="A182" s="132">
        <v>172</v>
      </c>
      <c r="B182" s="132" t="s">
        <v>582</v>
      </c>
      <c r="C182" s="124">
        <v>1</v>
      </c>
      <c r="D182" s="125" t="s">
        <v>96</v>
      </c>
      <c r="E182" s="125" t="s">
        <v>645</v>
      </c>
      <c r="F182" s="159" t="s">
        <v>1657</v>
      </c>
      <c r="G182" s="124">
        <v>2</v>
      </c>
      <c r="H182" s="124">
        <v>2</v>
      </c>
      <c r="I182" s="51"/>
      <c r="J182" s="126" t="s">
        <v>624</v>
      </c>
      <c r="K182" s="52" t="s">
        <v>707</v>
      </c>
      <c r="L182" s="133"/>
      <c r="M182" s="26" t="s">
        <v>707</v>
      </c>
      <c r="N182" s="20" t="s">
        <v>389</v>
      </c>
      <c r="O182" s="20" t="s">
        <v>389</v>
      </c>
      <c r="P182" s="20" t="s">
        <v>389</v>
      </c>
      <c r="Q182" s="134" t="s">
        <v>389</v>
      </c>
      <c r="R182" s="25"/>
    </row>
    <row r="183" spans="1:18" ht="27" x14ac:dyDescent="0.25">
      <c r="A183" s="132">
        <v>173</v>
      </c>
      <c r="B183" s="132" t="s">
        <v>582</v>
      </c>
      <c r="C183" s="124">
        <v>1</v>
      </c>
      <c r="D183" s="125" t="s">
        <v>96</v>
      </c>
      <c r="E183" s="125" t="s">
        <v>646</v>
      </c>
      <c r="F183" s="159" t="s">
        <v>1658</v>
      </c>
      <c r="G183" s="124">
        <v>2</v>
      </c>
      <c r="H183" s="124">
        <v>2</v>
      </c>
      <c r="I183" s="51"/>
      <c r="J183" s="126" t="s">
        <v>624</v>
      </c>
      <c r="K183" s="52" t="s">
        <v>707</v>
      </c>
      <c r="L183" s="133"/>
      <c r="M183" s="26" t="s">
        <v>707</v>
      </c>
      <c r="N183" s="20" t="s">
        <v>389</v>
      </c>
      <c r="O183" s="20" t="s">
        <v>389</v>
      </c>
      <c r="P183" s="20" t="s">
        <v>389</v>
      </c>
      <c r="Q183" s="134" t="s">
        <v>389</v>
      </c>
      <c r="R183" s="25"/>
    </row>
    <row r="184" spans="1:18" ht="27" x14ac:dyDescent="0.25">
      <c r="A184" s="132">
        <v>174</v>
      </c>
      <c r="B184" s="132" t="s">
        <v>582</v>
      </c>
      <c r="C184" s="124">
        <v>1</v>
      </c>
      <c r="D184" s="125" t="s">
        <v>96</v>
      </c>
      <c r="E184" s="125" t="s">
        <v>647</v>
      </c>
      <c r="F184" s="159" t="s">
        <v>1659</v>
      </c>
      <c r="G184" s="124">
        <v>1</v>
      </c>
      <c r="H184" s="124">
        <v>1</v>
      </c>
      <c r="I184" s="51"/>
      <c r="J184" s="126" t="s">
        <v>624</v>
      </c>
      <c r="K184" s="52" t="s">
        <v>707</v>
      </c>
      <c r="L184" s="133" t="s">
        <v>648</v>
      </c>
      <c r="M184" s="26" t="s">
        <v>707</v>
      </c>
      <c r="N184" s="20" t="s">
        <v>389</v>
      </c>
      <c r="O184" s="20" t="s">
        <v>389</v>
      </c>
      <c r="P184" s="20" t="s">
        <v>389</v>
      </c>
      <c r="Q184" s="134" t="s">
        <v>389</v>
      </c>
      <c r="R184" s="25"/>
    </row>
    <row r="185" spans="1:18" ht="67.5" x14ac:dyDescent="0.25">
      <c r="A185" s="132">
        <v>175</v>
      </c>
      <c r="B185" s="132" t="s">
        <v>582</v>
      </c>
      <c r="C185" s="124">
        <v>1</v>
      </c>
      <c r="D185" s="125" t="s">
        <v>96</v>
      </c>
      <c r="E185" s="125" t="s">
        <v>102</v>
      </c>
      <c r="F185" s="159" t="s">
        <v>1660</v>
      </c>
      <c r="G185" s="124">
        <v>6</v>
      </c>
      <c r="H185" s="124">
        <v>6</v>
      </c>
      <c r="I185" s="51"/>
      <c r="J185" s="126" t="s">
        <v>616</v>
      </c>
      <c r="K185" s="52" t="s">
        <v>707</v>
      </c>
      <c r="L185" s="133" t="s">
        <v>649</v>
      </c>
      <c r="M185" s="26" t="s">
        <v>1173</v>
      </c>
      <c r="N185" s="20" t="s">
        <v>389</v>
      </c>
      <c r="O185" s="20" t="s">
        <v>389</v>
      </c>
      <c r="P185" s="20" t="s">
        <v>389</v>
      </c>
      <c r="Q185" s="134" t="s">
        <v>389</v>
      </c>
      <c r="R185" s="25"/>
    </row>
    <row r="186" spans="1:18" ht="40.5" x14ac:dyDescent="0.25">
      <c r="A186" s="132">
        <v>176</v>
      </c>
      <c r="B186" s="132" t="s">
        <v>582</v>
      </c>
      <c r="C186" s="124">
        <v>1</v>
      </c>
      <c r="D186" s="125" t="s">
        <v>45</v>
      </c>
      <c r="E186" s="125" t="s">
        <v>46</v>
      </c>
      <c r="F186" s="159" t="s">
        <v>1661</v>
      </c>
      <c r="G186" s="124">
        <v>2</v>
      </c>
      <c r="H186" s="124">
        <v>2</v>
      </c>
      <c r="I186" s="51"/>
      <c r="J186" s="126" t="s">
        <v>624</v>
      </c>
      <c r="K186" s="52" t="s">
        <v>707</v>
      </c>
      <c r="L186" s="133" t="s">
        <v>650</v>
      </c>
      <c r="M186" s="26" t="s">
        <v>1153</v>
      </c>
      <c r="N186" s="20" t="s">
        <v>389</v>
      </c>
      <c r="O186" s="20" t="s">
        <v>389</v>
      </c>
      <c r="P186" s="20" t="s">
        <v>389</v>
      </c>
      <c r="Q186" s="134" t="s">
        <v>389</v>
      </c>
      <c r="R186" s="25"/>
    </row>
    <row r="187" spans="1:18" ht="27" x14ac:dyDescent="0.25">
      <c r="A187" s="132">
        <v>177</v>
      </c>
      <c r="B187" s="132" t="s">
        <v>582</v>
      </c>
      <c r="C187" s="124">
        <v>1</v>
      </c>
      <c r="D187" s="125" t="s">
        <v>98</v>
      </c>
      <c r="E187" s="125" t="s">
        <v>657</v>
      </c>
      <c r="F187" s="159" t="s">
        <v>1663</v>
      </c>
      <c r="G187" s="124">
        <v>2</v>
      </c>
      <c r="H187" s="124">
        <v>0</v>
      </c>
      <c r="I187" s="51"/>
      <c r="J187" s="126" t="s">
        <v>707</v>
      </c>
      <c r="K187" s="52" t="s">
        <v>707</v>
      </c>
      <c r="L187" s="133" t="s">
        <v>658</v>
      </c>
      <c r="M187" s="26" t="s">
        <v>1167</v>
      </c>
      <c r="N187" s="20" t="s">
        <v>389</v>
      </c>
      <c r="O187" s="20" t="s">
        <v>389</v>
      </c>
      <c r="P187" s="20" t="s">
        <v>389</v>
      </c>
      <c r="Q187" s="134" t="s">
        <v>389</v>
      </c>
      <c r="R187" s="25"/>
    </row>
    <row r="188" spans="1:18" ht="27" x14ac:dyDescent="0.25">
      <c r="A188" s="132">
        <v>178</v>
      </c>
      <c r="B188" s="132" t="s">
        <v>582</v>
      </c>
      <c r="C188" s="124">
        <v>1</v>
      </c>
      <c r="D188" s="125" t="s">
        <v>99</v>
      </c>
      <c r="E188" s="125" t="s">
        <v>659</v>
      </c>
      <c r="F188" s="159" t="s">
        <v>1664</v>
      </c>
      <c r="G188" s="124">
        <v>2</v>
      </c>
      <c r="H188" s="124">
        <v>2</v>
      </c>
      <c r="I188" s="51"/>
      <c r="J188" s="126" t="s">
        <v>707</v>
      </c>
      <c r="K188" s="52" t="s">
        <v>707</v>
      </c>
      <c r="L188" s="133" t="s">
        <v>660</v>
      </c>
      <c r="M188" s="26" t="s">
        <v>1171</v>
      </c>
      <c r="N188" s="20" t="s">
        <v>389</v>
      </c>
      <c r="O188" s="20" t="s">
        <v>389</v>
      </c>
      <c r="P188" s="20" t="s">
        <v>389</v>
      </c>
      <c r="Q188" s="134" t="s">
        <v>389</v>
      </c>
      <c r="R188" s="25"/>
    </row>
    <row r="189" spans="1:18" ht="27" x14ac:dyDescent="0.25">
      <c r="A189" s="132">
        <v>179</v>
      </c>
      <c r="B189" s="132" t="s">
        <v>582</v>
      </c>
      <c r="C189" s="124">
        <v>1</v>
      </c>
      <c r="D189" s="125" t="s">
        <v>99</v>
      </c>
      <c r="E189" s="125" t="s">
        <v>661</v>
      </c>
      <c r="F189" s="159"/>
      <c r="G189" s="124">
        <v>2</v>
      </c>
      <c r="H189" s="124">
        <v>2</v>
      </c>
      <c r="I189" s="51"/>
      <c r="J189" s="126" t="s">
        <v>707</v>
      </c>
      <c r="K189" s="52" t="s">
        <v>707</v>
      </c>
      <c r="L189" s="133" t="s">
        <v>660</v>
      </c>
      <c r="M189" s="26" t="s">
        <v>707</v>
      </c>
      <c r="N189" s="20" t="s">
        <v>389</v>
      </c>
      <c r="O189" s="20" t="s">
        <v>389</v>
      </c>
      <c r="P189" s="20" t="s">
        <v>389</v>
      </c>
      <c r="Q189" s="134" t="s">
        <v>389</v>
      </c>
      <c r="R189" s="25"/>
    </row>
    <row r="190" spans="1:18" x14ac:dyDescent="0.25">
      <c r="A190" s="132">
        <v>180</v>
      </c>
      <c r="B190" s="132" t="s">
        <v>582</v>
      </c>
      <c r="C190" s="124">
        <v>1</v>
      </c>
      <c r="D190" s="125"/>
      <c r="E190" s="125" t="s">
        <v>662</v>
      </c>
      <c r="F190" s="159" t="s">
        <v>1665</v>
      </c>
      <c r="G190" s="124">
        <v>300</v>
      </c>
      <c r="H190" s="124">
        <v>300</v>
      </c>
      <c r="I190" s="51"/>
      <c r="J190" s="126" t="s">
        <v>707</v>
      </c>
      <c r="K190" s="52" t="s">
        <v>707</v>
      </c>
      <c r="L190" s="133" t="s">
        <v>663</v>
      </c>
      <c r="M190" s="26" t="s">
        <v>707</v>
      </c>
      <c r="N190" s="20" t="s">
        <v>389</v>
      </c>
      <c r="O190" s="20" t="s">
        <v>389</v>
      </c>
      <c r="P190" s="20" t="s">
        <v>389</v>
      </c>
      <c r="Q190" s="134" t="s">
        <v>389</v>
      </c>
      <c r="R190" s="25"/>
    </row>
    <row r="191" spans="1:18" ht="54" x14ac:dyDescent="0.25">
      <c r="A191" s="132">
        <v>181</v>
      </c>
      <c r="B191" s="132" t="s">
        <v>664</v>
      </c>
      <c r="C191" s="124">
        <v>1</v>
      </c>
      <c r="D191" s="125" t="s">
        <v>64</v>
      </c>
      <c r="E191" s="125" t="s">
        <v>665</v>
      </c>
      <c r="F191" s="159" t="s">
        <v>1666</v>
      </c>
      <c r="G191" s="124">
        <v>1</v>
      </c>
      <c r="H191" s="124">
        <v>1</v>
      </c>
      <c r="I191" s="51"/>
      <c r="J191" s="126" t="s">
        <v>707</v>
      </c>
      <c r="K191" s="52" t="s">
        <v>666</v>
      </c>
      <c r="L191" s="133"/>
      <c r="M191" s="26" t="s">
        <v>1157</v>
      </c>
      <c r="N191" s="20" t="s">
        <v>715</v>
      </c>
      <c r="O191" s="20" t="s">
        <v>389</v>
      </c>
      <c r="P191" s="20" t="s">
        <v>389</v>
      </c>
      <c r="Q191" s="134" t="s">
        <v>389</v>
      </c>
      <c r="R191" s="25" t="s">
        <v>1038</v>
      </c>
    </row>
    <row r="192" spans="1:18" ht="27" x14ac:dyDescent="0.25">
      <c r="A192" s="132">
        <v>182</v>
      </c>
      <c r="B192" s="132" t="s">
        <v>664</v>
      </c>
      <c r="C192" s="124">
        <v>1</v>
      </c>
      <c r="D192" s="125" t="s">
        <v>667</v>
      </c>
      <c r="E192" s="125" t="s">
        <v>668</v>
      </c>
      <c r="F192" s="159" t="s">
        <v>1667</v>
      </c>
      <c r="G192" s="124">
        <v>1</v>
      </c>
      <c r="H192" s="124">
        <v>1</v>
      </c>
      <c r="I192" s="51"/>
      <c r="J192" s="126" t="s">
        <v>707</v>
      </c>
      <c r="K192" s="52" t="s">
        <v>666</v>
      </c>
      <c r="L192" s="133" t="s">
        <v>669</v>
      </c>
      <c r="M192" s="26" t="s">
        <v>707</v>
      </c>
      <c r="N192" s="20" t="s">
        <v>389</v>
      </c>
      <c r="O192" s="20" t="s">
        <v>389</v>
      </c>
      <c r="P192" s="20" t="s">
        <v>389</v>
      </c>
      <c r="Q192" s="134" t="s">
        <v>389</v>
      </c>
      <c r="R192" s="25"/>
    </row>
    <row r="193" spans="1:18" ht="27" x14ac:dyDescent="0.25">
      <c r="A193" s="132">
        <v>183</v>
      </c>
      <c r="B193" s="132" t="s">
        <v>664</v>
      </c>
      <c r="C193" s="124">
        <v>1</v>
      </c>
      <c r="D193" s="125" t="s">
        <v>64</v>
      </c>
      <c r="E193" s="125" t="s">
        <v>670</v>
      </c>
      <c r="F193" s="159" t="s">
        <v>1668</v>
      </c>
      <c r="G193" s="124">
        <v>2</v>
      </c>
      <c r="H193" s="124">
        <v>2</v>
      </c>
      <c r="I193" s="51"/>
      <c r="J193" s="126" t="s">
        <v>707</v>
      </c>
      <c r="K193" s="52" t="s">
        <v>671</v>
      </c>
      <c r="L193" s="133"/>
      <c r="M193" s="26" t="s">
        <v>1158</v>
      </c>
      <c r="N193" s="20" t="s">
        <v>389</v>
      </c>
      <c r="O193" s="20" t="s">
        <v>389</v>
      </c>
      <c r="P193" s="20" t="s">
        <v>389</v>
      </c>
      <c r="Q193" s="134" t="s">
        <v>389</v>
      </c>
      <c r="R193" s="25"/>
    </row>
    <row r="194" spans="1:18" ht="27" x14ac:dyDescent="0.25">
      <c r="A194" s="132">
        <v>184</v>
      </c>
      <c r="B194" s="132" t="s">
        <v>664</v>
      </c>
      <c r="C194" s="124">
        <v>1</v>
      </c>
      <c r="D194" s="125" t="s">
        <v>64</v>
      </c>
      <c r="E194" s="125" t="s">
        <v>672</v>
      </c>
      <c r="F194" s="159" t="s">
        <v>1669</v>
      </c>
      <c r="G194" s="124">
        <v>4</v>
      </c>
      <c r="H194" s="124">
        <v>4</v>
      </c>
      <c r="I194" s="51"/>
      <c r="J194" s="126" t="s">
        <v>707</v>
      </c>
      <c r="K194" s="52" t="s">
        <v>671</v>
      </c>
      <c r="L194" s="133" t="s">
        <v>673</v>
      </c>
      <c r="M194" s="26" t="s">
        <v>707</v>
      </c>
      <c r="N194" s="20" t="s">
        <v>389</v>
      </c>
      <c r="O194" s="20" t="s">
        <v>389</v>
      </c>
      <c r="P194" s="20" t="s">
        <v>389</v>
      </c>
      <c r="Q194" s="134" t="s">
        <v>389</v>
      </c>
      <c r="R194" s="25"/>
    </row>
    <row r="195" spans="1:18" x14ac:dyDescent="0.25">
      <c r="A195" s="132">
        <v>185</v>
      </c>
      <c r="B195" s="132" t="s">
        <v>664</v>
      </c>
      <c r="C195" s="124">
        <v>1</v>
      </c>
      <c r="D195" s="125" t="s">
        <v>64</v>
      </c>
      <c r="E195" s="125" t="s">
        <v>674</v>
      </c>
      <c r="F195" s="159" t="s">
        <v>1670</v>
      </c>
      <c r="G195" s="124">
        <v>6</v>
      </c>
      <c r="H195" s="124">
        <v>6</v>
      </c>
      <c r="I195" s="51"/>
      <c r="J195" s="126" t="s">
        <v>707</v>
      </c>
      <c r="K195" s="52" t="s">
        <v>671</v>
      </c>
      <c r="L195" s="133" t="s">
        <v>675</v>
      </c>
      <c r="M195" s="26" t="s">
        <v>707</v>
      </c>
      <c r="N195" s="20" t="s">
        <v>389</v>
      </c>
      <c r="O195" s="20" t="s">
        <v>389</v>
      </c>
      <c r="P195" s="20" t="s">
        <v>389</v>
      </c>
      <c r="Q195" s="134" t="s">
        <v>389</v>
      </c>
      <c r="R195" s="25"/>
    </row>
    <row r="196" spans="1:18" ht="27" x14ac:dyDescent="0.25">
      <c r="A196" s="132">
        <v>186</v>
      </c>
      <c r="B196" s="132" t="s">
        <v>664</v>
      </c>
      <c r="C196" s="124">
        <v>1</v>
      </c>
      <c r="D196" s="125" t="s">
        <v>64</v>
      </c>
      <c r="E196" s="125" t="s">
        <v>676</v>
      </c>
      <c r="F196" s="159" t="s">
        <v>1671</v>
      </c>
      <c r="G196" s="124">
        <v>4</v>
      </c>
      <c r="H196" s="124">
        <v>4</v>
      </c>
      <c r="I196" s="51"/>
      <c r="J196" s="126" t="s">
        <v>707</v>
      </c>
      <c r="K196" s="52" t="s">
        <v>671</v>
      </c>
      <c r="L196" s="133" t="s">
        <v>677</v>
      </c>
      <c r="M196" s="26" t="s">
        <v>707</v>
      </c>
      <c r="N196" s="20" t="s">
        <v>389</v>
      </c>
      <c r="O196" s="20" t="s">
        <v>389</v>
      </c>
      <c r="P196" s="20" t="s">
        <v>389</v>
      </c>
      <c r="Q196" s="134" t="s">
        <v>389</v>
      </c>
      <c r="R196" s="25"/>
    </row>
    <row r="197" spans="1:18" ht="27" x14ac:dyDescent="0.25">
      <c r="A197" s="132">
        <v>187</v>
      </c>
      <c r="B197" s="132" t="s">
        <v>664</v>
      </c>
      <c r="C197" s="124">
        <v>1</v>
      </c>
      <c r="D197" s="125" t="s">
        <v>64</v>
      </c>
      <c r="E197" s="125" t="s">
        <v>678</v>
      </c>
      <c r="F197" s="159" t="s">
        <v>1672</v>
      </c>
      <c r="G197" s="124">
        <v>2</v>
      </c>
      <c r="H197" s="124">
        <v>2</v>
      </c>
      <c r="I197" s="51"/>
      <c r="J197" s="126" t="s">
        <v>707</v>
      </c>
      <c r="K197" s="52" t="s">
        <v>671</v>
      </c>
      <c r="L197" s="133" t="s">
        <v>679</v>
      </c>
      <c r="M197" s="26" t="s">
        <v>707</v>
      </c>
      <c r="N197" s="20" t="s">
        <v>389</v>
      </c>
      <c r="O197" s="20" t="s">
        <v>389</v>
      </c>
      <c r="P197" s="20" t="s">
        <v>389</v>
      </c>
      <c r="Q197" s="134" t="s">
        <v>389</v>
      </c>
      <c r="R197" s="25"/>
    </row>
    <row r="198" spans="1:18" x14ac:dyDescent="0.25">
      <c r="A198" s="132">
        <v>188</v>
      </c>
      <c r="B198" s="132" t="s">
        <v>664</v>
      </c>
      <c r="C198" s="124">
        <v>1</v>
      </c>
      <c r="D198" s="125" t="s">
        <v>64</v>
      </c>
      <c r="E198" s="125" t="s">
        <v>680</v>
      </c>
      <c r="F198" s="159" t="s">
        <v>1673</v>
      </c>
      <c r="G198" s="124">
        <v>2</v>
      </c>
      <c r="H198" s="124">
        <v>2</v>
      </c>
      <c r="I198" s="51"/>
      <c r="J198" s="126" t="s">
        <v>707</v>
      </c>
      <c r="K198" s="52" t="s">
        <v>671</v>
      </c>
      <c r="L198" s="133" t="s">
        <v>681</v>
      </c>
      <c r="M198" s="26" t="s">
        <v>707</v>
      </c>
      <c r="N198" s="20" t="s">
        <v>389</v>
      </c>
      <c r="O198" s="20" t="s">
        <v>389</v>
      </c>
      <c r="P198" s="20" t="s">
        <v>389</v>
      </c>
      <c r="Q198" s="134" t="s">
        <v>389</v>
      </c>
      <c r="R198" s="25"/>
    </row>
    <row r="199" spans="1:18" ht="54" x14ac:dyDescent="0.25">
      <c r="A199" s="132">
        <v>189</v>
      </c>
      <c r="B199" s="132" t="s">
        <v>664</v>
      </c>
      <c r="C199" s="124">
        <v>1</v>
      </c>
      <c r="D199" s="125" t="s">
        <v>64</v>
      </c>
      <c r="E199" s="125" t="s">
        <v>682</v>
      </c>
      <c r="F199" s="159" t="s">
        <v>1674</v>
      </c>
      <c r="G199" s="124">
        <v>7</v>
      </c>
      <c r="H199" s="124">
        <v>7</v>
      </c>
      <c r="I199" s="51"/>
      <c r="J199" s="126" t="s">
        <v>707</v>
      </c>
      <c r="K199" s="52" t="s">
        <v>683</v>
      </c>
      <c r="L199" s="133" t="s">
        <v>684</v>
      </c>
      <c r="M199" s="26" t="s">
        <v>707</v>
      </c>
      <c r="N199" s="20" t="s">
        <v>389</v>
      </c>
      <c r="O199" s="20" t="s">
        <v>389</v>
      </c>
      <c r="P199" s="20" t="s">
        <v>389</v>
      </c>
      <c r="Q199" s="134" t="s">
        <v>389</v>
      </c>
      <c r="R199" s="25"/>
    </row>
    <row r="200" spans="1:18" ht="54" x14ac:dyDescent="0.25">
      <c r="A200" s="132">
        <v>190</v>
      </c>
      <c r="B200" s="132" t="s">
        <v>664</v>
      </c>
      <c r="C200" s="124">
        <v>1</v>
      </c>
      <c r="D200" s="125" t="s">
        <v>64</v>
      </c>
      <c r="E200" s="125" t="s">
        <v>685</v>
      </c>
      <c r="F200" s="159" t="s">
        <v>1675</v>
      </c>
      <c r="G200" s="124">
        <v>4</v>
      </c>
      <c r="H200" s="124">
        <v>4</v>
      </c>
      <c r="I200" s="51"/>
      <c r="J200" s="126" t="s">
        <v>707</v>
      </c>
      <c r="K200" s="52" t="s">
        <v>686</v>
      </c>
      <c r="L200" s="133" t="s">
        <v>687</v>
      </c>
      <c r="M200" s="26" t="s">
        <v>1159</v>
      </c>
      <c r="N200" s="20" t="s">
        <v>389</v>
      </c>
      <c r="O200" s="20" t="s">
        <v>389</v>
      </c>
      <c r="P200" s="20" t="s">
        <v>389</v>
      </c>
      <c r="Q200" s="134" t="s">
        <v>389</v>
      </c>
      <c r="R200" s="25"/>
    </row>
    <row r="201" spans="1:18" ht="40.5" x14ac:dyDescent="0.25">
      <c r="A201" s="132">
        <v>191</v>
      </c>
      <c r="B201" s="132" t="s">
        <v>664</v>
      </c>
      <c r="C201" s="124">
        <v>1</v>
      </c>
      <c r="D201" s="125" t="s">
        <v>64</v>
      </c>
      <c r="E201" s="125" t="s">
        <v>688</v>
      </c>
      <c r="F201" s="159" t="s">
        <v>1676</v>
      </c>
      <c r="G201" s="124">
        <v>8</v>
      </c>
      <c r="H201" s="124">
        <v>8</v>
      </c>
      <c r="I201" s="51"/>
      <c r="J201" s="126" t="s">
        <v>707</v>
      </c>
      <c r="K201" s="52" t="s">
        <v>686</v>
      </c>
      <c r="L201" s="133" t="s">
        <v>681</v>
      </c>
      <c r="M201" s="26" t="s">
        <v>707</v>
      </c>
      <c r="N201" s="20" t="s">
        <v>389</v>
      </c>
      <c r="O201" s="20" t="s">
        <v>389</v>
      </c>
      <c r="P201" s="20" t="s">
        <v>389</v>
      </c>
      <c r="Q201" s="134" t="s">
        <v>389</v>
      </c>
      <c r="R201" s="25"/>
    </row>
    <row r="202" spans="1:18" ht="27" x14ac:dyDescent="0.25">
      <c r="A202" s="132">
        <v>192</v>
      </c>
      <c r="B202" s="132" t="s">
        <v>664</v>
      </c>
      <c r="C202" s="124">
        <v>1</v>
      </c>
      <c r="D202" s="125" t="s">
        <v>64</v>
      </c>
      <c r="E202" s="125" t="s">
        <v>689</v>
      </c>
      <c r="F202" s="159" t="s">
        <v>1677</v>
      </c>
      <c r="G202" s="124">
        <v>4</v>
      </c>
      <c r="H202" s="124">
        <v>4</v>
      </c>
      <c r="I202" s="51"/>
      <c r="J202" s="126" t="s">
        <v>707</v>
      </c>
      <c r="K202" s="52" t="s">
        <v>690</v>
      </c>
      <c r="L202" s="133" t="s">
        <v>684</v>
      </c>
      <c r="M202" s="26" t="s">
        <v>707</v>
      </c>
      <c r="N202" s="20" t="s">
        <v>389</v>
      </c>
      <c r="O202" s="20" t="s">
        <v>389</v>
      </c>
      <c r="P202" s="20" t="s">
        <v>389</v>
      </c>
      <c r="Q202" s="134" t="s">
        <v>389</v>
      </c>
      <c r="R202" s="25"/>
    </row>
    <row r="203" spans="1:18" x14ac:dyDescent="0.25">
      <c r="A203" s="132">
        <v>193</v>
      </c>
      <c r="B203" s="132" t="s">
        <v>664</v>
      </c>
      <c r="C203" s="124">
        <v>1</v>
      </c>
      <c r="D203" s="125" t="s">
        <v>64</v>
      </c>
      <c r="E203" s="125" t="s">
        <v>691</v>
      </c>
      <c r="F203" s="159" t="s">
        <v>1678</v>
      </c>
      <c r="G203" s="124">
        <v>4</v>
      </c>
      <c r="H203" s="124">
        <v>4</v>
      </c>
      <c r="I203" s="51"/>
      <c r="J203" s="126" t="s">
        <v>707</v>
      </c>
      <c r="K203" s="52" t="s">
        <v>692</v>
      </c>
      <c r="L203" s="133" t="s">
        <v>681</v>
      </c>
      <c r="M203" s="26" t="s">
        <v>707</v>
      </c>
      <c r="N203" s="20" t="s">
        <v>389</v>
      </c>
      <c r="O203" s="20" t="s">
        <v>389</v>
      </c>
      <c r="P203" s="20" t="s">
        <v>389</v>
      </c>
      <c r="Q203" s="134" t="s">
        <v>389</v>
      </c>
      <c r="R203" s="25"/>
    </row>
    <row r="204" spans="1:18" ht="27" x14ac:dyDescent="0.25">
      <c r="A204" s="132">
        <v>194</v>
      </c>
      <c r="B204" s="132" t="s">
        <v>664</v>
      </c>
      <c r="C204" s="124">
        <v>1</v>
      </c>
      <c r="D204" s="125" t="s">
        <v>64</v>
      </c>
      <c r="E204" s="125" t="s">
        <v>693</v>
      </c>
      <c r="F204" s="159" t="s">
        <v>1679</v>
      </c>
      <c r="G204" s="124">
        <v>4</v>
      </c>
      <c r="H204" s="124">
        <v>4</v>
      </c>
      <c r="I204" s="51"/>
      <c r="J204" s="126" t="s">
        <v>707</v>
      </c>
      <c r="K204" s="52" t="s">
        <v>692</v>
      </c>
      <c r="L204" s="133" t="s">
        <v>694</v>
      </c>
      <c r="M204" s="26" t="s">
        <v>1160</v>
      </c>
      <c r="N204" s="20" t="s">
        <v>389</v>
      </c>
      <c r="O204" s="20" t="s">
        <v>389</v>
      </c>
      <c r="P204" s="20" t="s">
        <v>389</v>
      </c>
      <c r="Q204" s="134" t="s">
        <v>389</v>
      </c>
      <c r="R204" s="25"/>
    </row>
    <row r="205" spans="1:18" ht="40.5" x14ac:dyDescent="0.25">
      <c r="A205" s="132">
        <v>195</v>
      </c>
      <c r="B205" s="132" t="s">
        <v>664</v>
      </c>
      <c r="C205" s="124">
        <v>1</v>
      </c>
      <c r="D205" s="125" t="s">
        <v>64</v>
      </c>
      <c r="E205" s="125" t="s">
        <v>695</v>
      </c>
      <c r="F205" s="159" t="s">
        <v>1680</v>
      </c>
      <c r="G205" s="124">
        <v>2</v>
      </c>
      <c r="H205" s="124">
        <v>0</v>
      </c>
      <c r="I205" s="51"/>
      <c r="J205" s="126" t="s">
        <v>707</v>
      </c>
      <c r="K205" s="52" t="s">
        <v>692</v>
      </c>
      <c r="L205" s="150" t="s">
        <v>707</v>
      </c>
      <c r="M205" s="126" t="s">
        <v>1164</v>
      </c>
      <c r="N205" s="20" t="s">
        <v>389</v>
      </c>
      <c r="O205" s="20" t="s">
        <v>389</v>
      </c>
      <c r="P205" s="20" t="s">
        <v>389</v>
      </c>
      <c r="Q205" s="134" t="s">
        <v>389</v>
      </c>
      <c r="R205" s="25"/>
    </row>
    <row r="206" spans="1:18" ht="27" x14ac:dyDescent="0.25">
      <c r="A206" s="132">
        <v>196</v>
      </c>
      <c r="B206" s="132" t="s">
        <v>664</v>
      </c>
      <c r="C206" s="124">
        <v>1</v>
      </c>
      <c r="D206" s="125" t="s">
        <v>64</v>
      </c>
      <c r="E206" s="125" t="s">
        <v>696</v>
      </c>
      <c r="F206" s="159" t="s">
        <v>1681</v>
      </c>
      <c r="G206" s="124">
        <v>4</v>
      </c>
      <c r="H206" s="124">
        <v>4</v>
      </c>
      <c r="I206" s="51"/>
      <c r="J206" s="126" t="s">
        <v>707</v>
      </c>
      <c r="K206" s="52" t="s">
        <v>697</v>
      </c>
      <c r="L206" s="133" t="s">
        <v>684</v>
      </c>
      <c r="M206" s="26" t="s">
        <v>707</v>
      </c>
      <c r="N206" s="20" t="s">
        <v>389</v>
      </c>
      <c r="O206" s="20" t="s">
        <v>389</v>
      </c>
      <c r="P206" s="20" t="s">
        <v>389</v>
      </c>
      <c r="Q206" s="134" t="s">
        <v>389</v>
      </c>
      <c r="R206" s="25"/>
    </row>
    <row r="207" spans="1:18" ht="81" x14ac:dyDescent="0.25">
      <c r="A207" s="132">
        <v>197</v>
      </c>
      <c r="B207" s="132" t="s">
        <v>664</v>
      </c>
      <c r="C207" s="124">
        <v>1</v>
      </c>
      <c r="D207" s="125" t="s">
        <v>64</v>
      </c>
      <c r="E207" s="125" t="s">
        <v>698</v>
      </c>
      <c r="F207" s="159" t="s">
        <v>1682</v>
      </c>
      <c r="G207" s="124">
        <v>2</v>
      </c>
      <c r="H207" s="124">
        <v>2</v>
      </c>
      <c r="I207" s="51"/>
      <c r="J207" s="126" t="s">
        <v>707</v>
      </c>
      <c r="K207" s="52" t="s">
        <v>699</v>
      </c>
      <c r="L207" s="133" t="s">
        <v>700</v>
      </c>
      <c r="M207" s="26" t="s">
        <v>1162</v>
      </c>
      <c r="N207" s="20" t="s">
        <v>715</v>
      </c>
      <c r="O207" s="20" t="s">
        <v>389</v>
      </c>
      <c r="P207" s="20" t="s">
        <v>389</v>
      </c>
      <c r="Q207" s="134" t="s">
        <v>389</v>
      </c>
      <c r="R207" s="25" t="s">
        <v>1038</v>
      </c>
    </row>
    <row r="208" spans="1:18" ht="27" x14ac:dyDescent="0.25">
      <c r="A208" s="132">
        <v>198</v>
      </c>
      <c r="B208" s="132" t="s">
        <v>664</v>
      </c>
      <c r="C208" s="124">
        <v>1</v>
      </c>
      <c r="D208" s="125" t="s">
        <v>64</v>
      </c>
      <c r="E208" s="125" t="s">
        <v>701</v>
      </c>
      <c r="F208" s="159" t="s">
        <v>1683</v>
      </c>
      <c r="G208" s="124">
        <v>4</v>
      </c>
      <c r="H208" s="124">
        <v>4</v>
      </c>
      <c r="I208" s="51"/>
      <c r="J208" s="126" t="s">
        <v>707</v>
      </c>
      <c r="K208" s="52" t="s">
        <v>702</v>
      </c>
      <c r="L208" s="133" t="s">
        <v>694</v>
      </c>
      <c r="M208" s="26" t="s">
        <v>1161</v>
      </c>
      <c r="N208" s="20" t="s">
        <v>389</v>
      </c>
      <c r="O208" s="20" t="s">
        <v>389</v>
      </c>
      <c r="P208" s="20" t="s">
        <v>389</v>
      </c>
      <c r="Q208" s="134" t="s">
        <v>389</v>
      </c>
      <c r="R208" s="25"/>
    </row>
    <row r="209" spans="1:18" ht="54" x14ac:dyDescent="0.25">
      <c r="A209" s="132">
        <v>199</v>
      </c>
      <c r="B209" s="132" t="s">
        <v>664</v>
      </c>
      <c r="C209" s="124">
        <v>1</v>
      </c>
      <c r="D209" s="125" t="s">
        <v>64</v>
      </c>
      <c r="E209" s="125" t="s">
        <v>104</v>
      </c>
      <c r="F209" s="159" t="s">
        <v>1684</v>
      </c>
      <c r="G209" s="124">
        <v>2</v>
      </c>
      <c r="H209" s="124">
        <v>0</v>
      </c>
      <c r="I209" s="51"/>
      <c r="J209" s="126" t="s">
        <v>707</v>
      </c>
      <c r="K209" s="52" t="s">
        <v>702</v>
      </c>
      <c r="L209" s="133"/>
      <c r="M209" s="26" t="s">
        <v>1163</v>
      </c>
      <c r="N209" s="20" t="s">
        <v>389</v>
      </c>
      <c r="O209" s="20" t="s">
        <v>389</v>
      </c>
      <c r="P209" s="20" t="s">
        <v>389</v>
      </c>
      <c r="Q209" s="134" t="s">
        <v>389</v>
      </c>
      <c r="R209" s="25"/>
    </row>
    <row r="210" spans="1:18" x14ac:dyDescent="0.25">
      <c r="A210" s="132">
        <v>200</v>
      </c>
      <c r="B210" s="132" t="s">
        <v>664</v>
      </c>
      <c r="C210" s="124">
        <v>1</v>
      </c>
      <c r="D210" s="125" t="s">
        <v>64</v>
      </c>
      <c r="E210" s="125" t="s">
        <v>705</v>
      </c>
      <c r="F210" s="159" t="s">
        <v>1686</v>
      </c>
      <c r="G210" s="124">
        <v>1</v>
      </c>
      <c r="H210" s="124">
        <v>1</v>
      </c>
      <c r="I210" s="51"/>
      <c r="J210" s="126" t="s">
        <v>707</v>
      </c>
      <c r="K210" s="52" t="s">
        <v>666</v>
      </c>
      <c r="L210" s="133" t="s">
        <v>706</v>
      </c>
      <c r="M210" s="26"/>
      <c r="N210" s="20" t="s">
        <v>389</v>
      </c>
      <c r="O210" s="20" t="s">
        <v>389</v>
      </c>
      <c r="P210" s="20" t="s">
        <v>389</v>
      </c>
      <c r="Q210" s="134" t="s">
        <v>389</v>
      </c>
      <c r="R210" s="25"/>
    </row>
    <row r="211" spans="1:18" s="2" customFormat="1" ht="45" x14ac:dyDescent="0.25">
      <c r="A211" s="132">
        <v>201</v>
      </c>
      <c r="B211" s="132" t="s">
        <v>400</v>
      </c>
      <c r="C211" s="124">
        <v>1</v>
      </c>
      <c r="D211" s="125" t="s">
        <v>64</v>
      </c>
      <c r="E211" s="125" t="s">
        <v>943</v>
      </c>
      <c r="F211" s="159" t="s">
        <v>1611</v>
      </c>
      <c r="G211" s="124">
        <v>3</v>
      </c>
      <c r="H211" s="124">
        <v>0</v>
      </c>
      <c r="I211" s="51" t="s">
        <v>940</v>
      </c>
      <c r="J211" s="126" t="s">
        <v>707</v>
      </c>
      <c r="K211" s="52" t="s">
        <v>707</v>
      </c>
      <c r="L211" s="133" t="s">
        <v>941</v>
      </c>
      <c r="M211" s="26" t="s">
        <v>707</v>
      </c>
      <c r="N211" s="20" t="s">
        <v>389</v>
      </c>
      <c r="O211" s="20" t="s">
        <v>389</v>
      </c>
      <c r="P211" s="20" t="s">
        <v>389</v>
      </c>
      <c r="Q211" s="134" t="s">
        <v>389</v>
      </c>
      <c r="R211" s="25" t="s">
        <v>942</v>
      </c>
    </row>
    <row r="212" spans="1:18" x14ac:dyDescent="0.25">
      <c r="A212" s="132">
        <v>202</v>
      </c>
      <c r="B212" s="132" t="s">
        <v>400</v>
      </c>
      <c r="C212" s="138">
        <v>1</v>
      </c>
      <c r="D212" s="139" t="s">
        <v>36</v>
      </c>
      <c r="E212" s="139" t="s">
        <v>1479</v>
      </c>
      <c r="F212" s="161" t="s">
        <v>1480</v>
      </c>
      <c r="G212" s="124">
        <v>2</v>
      </c>
      <c r="H212" s="124">
        <v>2</v>
      </c>
      <c r="I212" s="127" t="s">
        <v>424</v>
      </c>
      <c r="J212" s="128" t="s">
        <v>707</v>
      </c>
      <c r="K212" s="152" t="s">
        <v>707</v>
      </c>
      <c r="L212" s="140" t="s">
        <v>765</v>
      </c>
      <c r="M212" s="129" t="s">
        <v>707</v>
      </c>
      <c r="N212" s="130" t="s">
        <v>389</v>
      </c>
      <c r="O212" s="20" t="s">
        <v>389</v>
      </c>
      <c r="P212" s="20" t="s">
        <v>389</v>
      </c>
      <c r="Q212" s="134" t="s">
        <v>389</v>
      </c>
      <c r="R212" s="131"/>
    </row>
    <row r="213" spans="1:18" ht="75" x14ac:dyDescent="0.25">
      <c r="A213" s="132">
        <v>203</v>
      </c>
      <c r="B213" s="132" t="s">
        <v>400</v>
      </c>
      <c r="C213" s="138">
        <v>1</v>
      </c>
      <c r="D213" s="139" t="s">
        <v>5</v>
      </c>
      <c r="E213" s="139" t="s">
        <v>1484</v>
      </c>
      <c r="F213" s="161" t="s">
        <v>1485</v>
      </c>
      <c r="G213" s="124">
        <v>10</v>
      </c>
      <c r="H213" s="124">
        <v>10</v>
      </c>
      <c r="I213" s="127" t="s">
        <v>770</v>
      </c>
      <c r="J213" s="128" t="s">
        <v>707</v>
      </c>
      <c r="K213" s="152" t="s">
        <v>707</v>
      </c>
      <c r="L213" s="140" t="s">
        <v>1486</v>
      </c>
      <c r="M213" s="129" t="s">
        <v>707</v>
      </c>
      <c r="N213" s="130" t="s">
        <v>389</v>
      </c>
      <c r="O213" s="20" t="s">
        <v>389</v>
      </c>
      <c r="P213" s="20" t="s">
        <v>389</v>
      </c>
      <c r="Q213" s="134" t="s">
        <v>389</v>
      </c>
      <c r="R213" s="131"/>
    </row>
    <row r="214" spans="1:18" ht="54" x14ac:dyDescent="0.25">
      <c r="A214" s="132">
        <v>204</v>
      </c>
      <c r="B214" s="132" t="s">
        <v>400</v>
      </c>
      <c r="C214" s="138">
        <v>1</v>
      </c>
      <c r="D214" s="139" t="s">
        <v>5</v>
      </c>
      <c r="E214" s="139" t="s">
        <v>1613</v>
      </c>
      <c r="F214" s="161" t="s">
        <v>1614</v>
      </c>
      <c r="G214" s="124">
        <v>3</v>
      </c>
      <c r="H214" s="124">
        <v>3</v>
      </c>
      <c r="I214" s="127"/>
      <c r="J214" s="128" t="s">
        <v>707</v>
      </c>
      <c r="K214" s="152" t="s">
        <v>707</v>
      </c>
      <c r="L214" s="140" t="s">
        <v>1615</v>
      </c>
      <c r="M214" s="129" t="s">
        <v>707</v>
      </c>
      <c r="N214" s="130" t="s">
        <v>389</v>
      </c>
      <c r="O214" s="20" t="s">
        <v>389</v>
      </c>
      <c r="P214" s="20" t="s">
        <v>389</v>
      </c>
      <c r="Q214" s="134" t="s">
        <v>389</v>
      </c>
      <c r="R214" s="131"/>
    </row>
    <row r="215" spans="1:18" ht="30" x14ac:dyDescent="0.25">
      <c r="A215" s="132">
        <v>205</v>
      </c>
      <c r="B215" s="132" t="s">
        <v>400</v>
      </c>
      <c r="C215" s="138">
        <v>1</v>
      </c>
      <c r="D215" s="139" t="s">
        <v>137</v>
      </c>
      <c r="E215" s="139">
        <v>1417975</v>
      </c>
      <c r="F215" s="161" t="s">
        <v>1616</v>
      </c>
      <c r="G215" s="124">
        <v>2</v>
      </c>
      <c r="H215" s="124">
        <v>2</v>
      </c>
      <c r="I215" s="127" t="s">
        <v>767</v>
      </c>
      <c r="J215" s="128" t="s">
        <v>707</v>
      </c>
      <c r="K215" s="152" t="s">
        <v>707</v>
      </c>
      <c r="L215" s="140" t="s">
        <v>1516</v>
      </c>
      <c r="M215" s="129" t="s">
        <v>707</v>
      </c>
      <c r="N215" s="130" t="s">
        <v>389</v>
      </c>
      <c r="O215" s="20" t="s">
        <v>389</v>
      </c>
      <c r="P215" s="20" t="s">
        <v>389</v>
      </c>
      <c r="Q215" s="134" t="s">
        <v>389</v>
      </c>
      <c r="R215" s="131"/>
    </row>
    <row r="216" spans="1:18" x14ac:dyDescent="0.25">
      <c r="A216" s="132">
        <v>206</v>
      </c>
      <c r="B216" s="132" t="s">
        <v>400</v>
      </c>
      <c r="C216" s="138">
        <v>1</v>
      </c>
      <c r="D216" s="139" t="s">
        <v>1617</v>
      </c>
      <c r="E216" s="139" t="s">
        <v>1618</v>
      </c>
      <c r="F216" s="161" t="s">
        <v>1619</v>
      </c>
      <c r="G216" s="124">
        <v>1</v>
      </c>
      <c r="H216" s="124">
        <v>1</v>
      </c>
      <c r="I216" s="127"/>
      <c r="J216" s="128" t="s">
        <v>707</v>
      </c>
      <c r="K216" s="152" t="s">
        <v>707</v>
      </c>
      <c r="L216" s="140" t="s">
        <v>1620</v>
      </c>
      <c r="M216" s="129" t="s">
        <v>707</v>
      </c>
      <c r="N216" s="130" t="s">
        <v>389</v>
      </c>
      <c r="O216" s="20" t="s">
        <v>389</v>
      </c>
      <c r="P216" s="20" t="s">
        <v>389</v>
      </c>
      <c r="Q216" s="134" t="s">
        <v>389</v>
      </c>
      <c r="R216" s="131"/>
    </row>
    <row r="217" spans="1:18" ht="15.75" thickBot="1" x14ac:dyDescent="0.3">
      <c r="A217" s="132">
        <v>207</v>
      </c>
      <c r="B217" s="132" t="s">
        <v>400</v>
      </c>
      <c r="C217" s="138">
        <v>1</v>
      </c>
      <c r="D217" s="139" t="s">
        <v>1617</v>
      </c>
      <c r="E217" s="139" t="s">
        <v>1621</v>
      </c>
      <c r="F217" s="161" t="s">
        <v>1622</v>
      </c>
      <c r="G217" s="124">
        <v>2</v>
      </c>
      <c r="H217" s="124">
        <v>2</v>
      </c>
      <c r="I217" s="153"/>
      <c r="J217" s="154" t="s">
        <v>707</v>
      </c>
      <c r="K217" s="155" t="s">
        <v>707</v>
      </c>
      <c r="L217" s="140"/>
      <c r="M217" s="129" t="s">
        <v>707</v>
      </c>
      <c r="N217" s="130" t="s">
        <v>389</v>
      </c>
      <c r="O217" s="20" t="s">
        <v>389</v>
      </c>
      <c r="P217" s="20" t="s">
        <v>389</v>
      </c>
      <c r="Q217" s="137" t="s">
        <v>389</v>
      </c>
      <c r="R217" s="131"/>
    </row>
  </sheetData>
  <sheetProtection formatColumns="0" formatRows="0" insertRows="0" sort="0" autoFilter="0"/>
  <mergeCells count="16">
    <mergeCell ref="A4:B4"/>
    <mergeCell ref="C4:D4"/>
    <mergeCell ref="A1:D1"/>
    <mergeCell ref="A2:B2"/>
    <mergeCell ref="C2:D2"/>
    <mergeCell ref="A3:B3"/>
    <mergeCell ref="C3:D3"/>
    <mergeCell ref="L9:O9"/>
    <mergeCell ref="A5:B5"/>
    <mergeCell ref="C5:D5"/>
    <mergeCell ref="A7:B7"/>
    <mergeCell ref="C7:D7"/>
    <mergeCell ref="A9:K9"/>
    <mergeCell ref="A6:B6"/>
    <mergeCell ref="C6:D6"/>
    <mergeCell ref="H8:J8"/>
  </mergeCells>
  <phoneticPr fontId="5" type="noConversion"/>
  <conditionalFormatting sqref="N11:P217">
    <cfRule type="cellIs" dxfId="31" priority="2" operator="equal">
      <formula>"N"</formula>
    </cfRule>
    <cfRule type="cellIs" dxfId="30" priority="3" operator="equal">
      <formula>"Y"</formula>
    </cfRule>
  </conditionalFormatting>
  <conditionalFormatting sqref="Q11:Q217">
    <cfRule type="cellIs" dxfId="29" priority="1" operator="equal">
      <formula>"Y"</formula>
    </cfRule>
  </conditionalFormatting>
  <dataValidations count="3">
    <dataValidation type="list" showInputMessage="1" showErrorMessage="1" sqref="E6" xr:uid="{44E848CA-FEA6-402E-90CA-3700D148067E}">
      <formula1>"Y, N"</formula1>
    </dataValidation>
    <dataValidation type="list" allowBlank="1" showInputMessage="1" showErrorMessage="1" sqref="N11:Q217" xr:uid="{D1B69469-B79B-42DF-AA43-B7BBA3E185B0}">
      <formula1>"N, Y"</formula1>
    </dataValidation>
    <dataValidation type="list" allowBlank="1" showInputMessage="1" showErrorMessage="1" sqref="B11:B217" xr:uid="{1799A680-D2F6-4106-B382-5E79EB51D80B}">
      <formula1>"HYD, PNU, ELEC, MECH, N/A"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_Master_Equipment_Sync">
                <anchor moveWithCells="1" sizeWithCells="1">
                  <from>
                    <xdr:col>0</xdr:col>
                    <xdr:colOff>95250</xdr:colOff>
                    <xdr:row>8</xdr:row>
                    <xdr:rowOff>76200</xdr:rowOff>
                  </from>
                  <to>
                    <xdr:col>2</xdr:col>
                    <xdr:colOff>228600</xdr:colOff>
                    <xdr:row>8</xdr:row>
                    <xdr:rowOff>638175</xdr:rowOff>
                  </to>
                </anchor>
              </controlPr>
            </control>
          </mc:Choice>
        </mc:AlternateContent>
        <mc:AlternateContent xmlns:mc="http://schemas.openxmlformats.org/markup-compatibility/2006">
          <mc:Choice Requires="x14">
            <control shapeId="1030" r:id="rId4" name="Button 6">
              <controlPr defaultSize="0" print="0" autoFill="0" autoPict="0" macro="[0]!Apply_Changes">
                <anchor moveWithCells="1" sizeWithCells="1">
                  <from>
                    <xdr:col>11</xdr:col>
                    <xdr:colOff>95250</xdr:colOff>
                    <xdr:row>8</xdr:row>
                    <xdr:rowOff>104775</xdr:rowOff>
                  </from>
                  <to>
                    <xdr:col>11</xdr:col>
                    <xdr:colOff>800100</xdr:colOff>
                    <xdr:row>8</xdr:row>
                    <xdr:rowOff>666750</xdr:rowOff>
                  </to>
                </anchor>
              </controlPr>
            </control>
          </mc:Choice>
        </mc:AlternateContent>
        <mc:AlternateContent xmlns:mc="http://schemas.openxmlformats.org/markup-compatibility/2006">
          <mc:Choice Requires="x14">
            <control shapeId="1054" r:id="rId5" name="Button 30">
              <controlPr defaultSize="0" print="0" autoFill="0" autoPict="0" macro="[0]!Delete_Removed_Parts">
                <anchor moveWithCells="1" sizeWithCells="1">
                  <from>
                    <xdr:col>15</xdr:col>
                    <xdr:colOff>95250</xdr:colOff>
                    <xdr:row>8</xdr:row>
                    <xdr:rowOff>76200</xdr:rowOff>
                  </from>
                  <to>
                    <xdr:col>15</xdr:col>
                    <xdr:colOff>781050</xdr:colOff>
                    <xdr:row>8</xdr:row>
                    <xdr:rowOff>657225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DB634-B3BC-403E-A6A6-EDEDD088FB48}">
  <sheetPr codeName="Sheet3">
    <pageSetUpPr fitToPage="1"/>
  </sheetPr>
  <dimension ref="A1:I84"/>
  <sheetViews>
    <sheetView zoomScale="85" zoomScaleNormal="85" workbookViewId="0">
      <selection activeCell="C9" sqref="C9"/>
    </sheetView>
  </sheetViews>
  <sheetFormatPr defaultRowHeight="15" x14ac:dyDescent="0.25"/>
  <cols>
    <col min="1" max="1" width="11.85546875" style="1" customWidth="1"/>
    <col min="2" max="2" width="22" style="1" customWidth="1"/>
    <col min="3" max="3" width="34.5703125" style="1" customWidth="1"/>
    <col min="4" max="4" width="53" style="1" customWidth="1"/>
    <col min="5" max="5" width="16.85546875" style="1" customWidth="1"/>
    <col min="6" max="6" width="13.5703125" style="1" customWidth="1"/>
    <col min="7" max="7" width="28" style="1" customWidth="1"/>
    <col min="8" max="8" width="18.85546875" style="1" customWidth="1"/>
    <col min="9" max="9" width="81.7109375" style="1" customWidth="1"/>
    <col min="10" max="16384" width="9.140625" style="1"/>
  </cols>
  <sheetData>
    <row r="1" spans="1:9" ht="15.75" thickBot="1" x14ac:dyDescent="0.3">
      <c r="A1" s="98" t="s">
        <v>344</v>
      </c>
      <c r="B1" s="99"/>
      <c r="C1" s="100"/>
      <c r="D1" s="45"/>
      <c r="G1" s="1" t="s">
        <v>929</v>
      </c>
      <c r="H1" s="1" t="s">
        <v>922</v>
      </c>
      <c r="I1" s="1" t="s">
        <v>930</v>
      </c>
    </row>
    <row r="2" spans="1:9" x14ac:dyDescent="0.25">
      <c r="A2" s="103" t="s">
        <v>345</v>
      </c>
      <c r="B2" s="104"/>
      <c r="C2" s="48">
        <f>Proj_Number</f>
        <v>20570</v>
      </c>
      <c r="D2" s="46"/>
      <c r="G2" s="31" t="s">
        <v>923</v>
      </c>
      <c r="H2" s="1" t="s">
        <v>926</v>
      </c>
      <c r="I2" s="73" t="s">
        <v>1448</v>
      </c>
    </row>
    <row r="3" spans="1:9" x14ac:dyDescent="0.25">
      <c r="A3" s="103" t="s">
        <v>346</v>
      </c>
      <c r="B3" s="104"/>
      <c r="C3" s="49" t="str">
        <f>Proj_Customer</f>
        <v>Company</v>
      </c>
      <c r="D3" s="46"/>
      <c r="G3" s="31" t="s">
        <v>920</v>
      </c>
      <c r="H3" s="1" t="s">
        <v>927</v>
      </c>
      <c r="I3" s="73" t="s">
        <v>1447</v>
      </c>
    </row>
    <row r="4" spans="1:9" x14ac:dyDescent="0.25">
      <c r="A4" s="103" t="s">
        <v>347</v>
      </c>
      <c r="B4" s="104"/>
      <c r="C4" s="49" t="str">
        <f>Proj_Name</f>
        <v>600HP Face Reversing 4H Rolling Mill</v>
      </c>
      <c r="D4" s="46"/>
      <c r="G4" s="31" t="s">
        <v>924</v>
      </c>
      <c r="H4" s="1" t="s">
        <v>506</v>
      </c>
      <c r="I4" s="73" t="s">
        <v>1446</v>
      </c>
    </row>
    <row r="5" spans="1:9" x14ac:dyDescent="0.25">
      <c r="A5" s="103" t="s">
        <v>348</v>
      </c>
      <c r="B5" s="104"/>
      <c r="C5" s="49" t="str">
        <f>Proj_Specifications</f>
        <v>480VAC/60Hz/3P(Δ), 1200 AMP</v>
      </c>
      <c r="D5" s="46"/>
      <c r="G5" s="31" t="s">
        <v>354</v>
      </c>
      <c r="H5" s="1" t="s">
        <v>928</v>
      </c>
      <c r="I5" s="73" t="s">
        <v>1445</v>
      </c>
    </row>
    <row r="6" spans="1:9" ht="15.75" thickBot="1" x14ac:dyDescent="0.3">
      <c r="A6" s="101" t="s">
        <v>349</v>
      </c>
      <c r="B6" s="102"/>
      <c r="C6" s="50">
        <f>Last_Synced</f>
        <v>46073.355636574073</v>
      </c>
      <c r="D6" s="47"/>
      <c r="G6" s="31" t="s">
        <v>1030</v>
      </c>
      <c r="H6" s="1" t="s">
        <v>409</v>
      </c>
      <c r="I6" s="73" t="s">
        <v>1444</v>
      </c>
    </row>
    <row r="7" spans="1:9" x14ac:dyDescent="0.25">
      <c r="C7" s="31"/>
      <c r="D7" s="59"/>
      <c r="G7" s="31"/>
      <c r="I7" s="73" t="s">
        <v>1443</v>
      </c>
    </row>
    <row r="8" spans="1:9" x14ac:dyDescent="0.25">
      <c r="C8" s="31"/>
    </row>
    <row r="9" spans="1:9" ht="60.75" thickBot="1" x14ac:dyDescent="0.3">
      <c r="C9" s="31"/>
      <c r="D9" s="31"/>
      <c r="H9" s="1" t="s">
        <v>1060</v>
      </c>
    </row>
    <row r="10" spans="1:9" ht="54" customHeight="1" thickBot="1" x14ac:dyDescent="0.3">
      <c r="A10" s="81" t="str">
        <f>"Your Company" &amp; CHAR(10) &amp; Proj_Number &amp; " - " &amp; Proj_Customer &amp; " - " &amp; Proj_Name &amp; CHAR(10) &amp; "I/O List"</f>
        <v>Your Company
20570 - Company - 600HP Face Reversing 4H Rolling Mill
I/O List</v>
      </c>
      <c r="B10" s="82"/>
      <c r="C10" s="82"/>
      <c r="D10" s="82"/>
      <c r="E10" s="83"/>
      <c r="F10" s="81" t="s">
        <v>395</v>
      </c>
      <c r="G10" s="82"/>
      <c r="H10" s="82"/>
      <c r="I10" s="83"/>
    </row>
    <row r="11" spans="1:9" ht="45" x14ac:dyDescent="0.25">
      <c r="A11" s="1" t="s">
        <v>330</v>
      </c>
      <c r="B11" s="1" t="s">
        <v>0</v>
      </c>
      <c r="C11" s="1" t="s">
        <v>1</v>
      </c>
      <c r="D11" s="1" t="s">
        <v>396</v>
      </c>
      <c r="E11" s="1" t="s">
        <v>334</v>
      </c>
      <c r="F11" s="56" t="s">
        <v>931</v>
      </c>
      <c r="G11" s="1" t="s">
        <v>335</v>
      </c>
      <c r="H11" s="15" t="s">
        <v>921</v>
      </c>
      <c r="I11" s="1" t="s">
        <v>919</v>
      </c>
    </row>
    <row r="12" spans="1:9" ht="90" x14ac:dyDescent="0.25">
      <c r="A12" s="141">
        <v>10</v>
      </c>
      <c r="B12" s="142" t="s">
        <v>716</v>
      </c>
      <c r="C12" s="142" t="s">
        <v>717</v>
      </c>
      <c r="D12" s="44" t="s">
        <v>719</v>
      </c>
      <c r="E12" s="143" t="s">
        <v>751</v>
      </c>
      <c r="F12" s="54" t="s">
        <v>355</v>
      </c>
      <c r="G12" s="20" t="s">
        <v>924</v>
      </c>
      <c r="H12" s="55" t="s">
        <v>1024</v>
      </c>
      <c r="I12" s="44" t="s">
        <v>1028</v>
      </c>
    </row>
    <row r="13" spans="1:9" ht="90" x14ac:dyDescent="0.25">
      <c r="A13" s="141">
        <v>10</v>
      </c>
      <c r="B13" s="142" t="s">
        <v>716</v>
      </c>
      <c r="C13" s="142" t="s">
        <v>717</v>
      </c>
      <c r="D13" s="44" t="s">
        <v>719</v>
      </c>
      <c r="E13" s="143" t="s">
        <v>752</v>
      </c>
      <c r="F13" s="54" t="s">
        <v>355</v>
      </c>
      <c r="G13" s="20" t="s">
        <v>924</v>
      </c>
      <c r="H13" s="55" t="s">
        <v>1025</v>
      </c>
      <c r="I13" s="44" t="s">
        <v>1027</v>
      </c>
    </row>
    <row r="14" spans="1:9" ht="90" x14ac:dyDescent="0.25">
      <c r="A14" s="141">
        <v>10</v>
      </c>
      <c r="B14" s="142" t="s">
        <v>716</v>
      </c>
      <c r="C14" s="142" t="s">
        <v>717</v>
      </c>
      <c r="D14" s="44" t="s">
        <v>719</v>
      </c>
      <c r="E14" s="143" t="s">
        <v>753</v>
      </c>
      <c r="F14" s="54" t="s">
        <v>355</v>
      </c>
      <c r="G14" s="20" t="s">
        <v>924</v>
      </c>
      <c r="H14" s="55" t="s">
        <v>1026</v>
      </c>
      <c r="I14" s="44" t="s">
        <v>1029</v>
      </c>
    </row>
    <row r="15" spans="1:9" x14ac:dyDescent="0.25">
      <c r="A15" s="141">
        <v>11</v>
      </c>
      <c r="B15" s="141" t="s">
        <v>945</v>
      </c>
      <c r="C15" s="141" t="s">
        <v>944</v>
      </c>
      <c r="D15" s="44" t="s">
        <v>934</v>
      </c>
      <c r="E15" s="143" t="s">
        <v>1093</v>
      </c>
      <c r="F15" s="54" t="s">
        <v>353</v>
      </c>
      <c r="G15" s="20" t="s">
        <v>946</v>
      </c>
      <c r="H15" s="55" t="s">
        <v>950</v>
      </c>
      <c r="I15" s="44" t="s">
        <v>1095</v>
      </c>
    </row>
    <row r="16" spans="1:9" x14ac:dyDescent="0.25">
      <c r="A16" s="141">
        <v>11</v>
      </c>
      <c r="B16" s="141" t="s">
        <v>945</v>
      </c>
      <c r="C16" s="141" t="s">
        <v>944</v>
      </c>
      <c r="D16" s="44" t="s">
        <v>934</v>
      </c>
      <c r="E16" s="143" t="s">
        <v>1094</v>
      </c>
      <c r="F16" s="54" t="s">
        <v>353</v>
      </c>
      <c r="G16" s="20" t="s">
        <v>947</v>
      </c>
      <c r="H16" s="55" t="s">
        <v>950</v>
      </c>
      <c r="I16" s="44" t="s">
        <v>1095</v>
      </c>
    </row>
    <row r="17" spans="1:9" x14ac:dyDescent="0.25">
      <c r="A17" s="141">
        <v>11</v>
      </c>
      <c r="B17" s="141" t="s">
        <v>945</v>
      </c>
      <c r="C17" s="141" t="s">
        <v>944</v>
      </c>
      <c r="D17" s="44" t="s">
        <v>1441</v>
      </c>
      <c r="E17" s="143" t="s">
        <v>1104</v>
      </c>
      <c r="F17" s="54" t="s">
        <v>353</v>
      </c>
      <c r="G17" s="20" t="s">
        <v>1114</v>
      </c>
      <c r="H17" s="55" t="s">
        <v>1116</v>
      </c>
      <c r="I17" s="44" t="s">
        <v>1117</v>
      </c>
    </row>
    <row r="18" spans="1:9" x14ac:dyDescent="0.25">
      <c r="A18" s="141">
        <v>11</v>
      </c>
      <c r="B18" s="141" t="s">
        <v>945</v>
      </c>
      <c r="C18" s="141" t="s">
        <v>944</v>
      </c>
      <c r="D18" s="44" t="s">
        <v>1441</v>
      </c>
      <c r="E18" s="143" t="s">
        <v>1105</v>
      </c>
      <c r="F18" s="54" t="s">
        <v>353</v>
      </c>
      <c r="G18" s="20" t="s">
        <v>1115</v>
      </c>
      <c r="H18" s="55" t="s">
        <v>1116</v>
      </c>
      <c r="I18" s="44" t="s">
        <v>1117</v>
      </c>
    </row>
    <row r="19" spans="1:9" x14ac:dyDescent="0.25">
      <c r="A19" s="141">
        <v>11</v>
      </c>
      <c r="B19" s="141" t="s">
        <v>945</v>
      </c>
      <c r="C19" s="141" t="s">
        <v>944</v>
      </c>
      <c r="D19" s="44" t="s">
        <v>1442</v>
      </c>
      <c r="E19" s="143" t="s">
        <v>1106</v>
      </c>
      <c r="F19" s="54" t="s">
        <v>1138</v>
      </c>
      <c r="G19" s="20" t="s">
        <v>1138</v>
      </c>
      <c r="H19" s="55" t="s">
        <v>1138</v>
      </c>
      <c r="I19" s="44"/>
    </row>
    <row r="20" spans="1:9" x14ac:dyDescent="0.25">
      <c r="A20" s="141">
        <v>11</v>
      </c>
      <c r="B20" s="141" t="s">
        <v>945</v>
      </c>
      <c r="C20" s="141" t="s">
        <v>944</v>
      </c>
      <c r="D20" s="44" t="s">
        <v>1442</v>
      </c>
      <c r="E20" s="143" t="s">
        <v>1107</v>
      </c>
      <c r="F20" s="54" t="s">
        <v>1138</v>
      </c>
      <c r="G20" s="20" t="s">
        <v>1138</v>
      </c>
      <c r="H20" s="55" t="s">
        <v>1138</v>
      </c>
      <c r="I20" s="44"/>
    </row>
    <row r="21" spans="1:9" ht="75" x14ac:dyDescent="0.25">
      <c r="A21" s="141">
        <v>14</v>
      </c>
      <c r="B21" s="142" t="s">
        <v>36</v>
      </c>
      <c r="C21" s="142" t="s">
        <v>37</v>
      </c>
      <c r="D21" s="44" t="s">
        <v>765</v>
      </c>
      <c r="E21" s="143" t="s">
        <v>917</v>
      </c>
      <c r="F21" s="54" t="s">
        <v>355</v>
      </c>
      <c r="G21" s="20" t="s">
        <v>1030</v>
      </c>
      <c r="H21" s="55" t="s">
        <v>1042</v>
      </c>
      <c r="I21" s="44" t="s">
        <v>1047</v>
      </c>
    </row>
    <row r="22" spans="1:9" ht="75" x14ac:dyDescent="0.25">
      <c r="A22" s="141">
        <v>14</v>
      </c>
      <c r="B22" s="142" t="s">
        <v>36</v>
      </c>
      <c r="C22" s="142" t="s">
        <v>37</v>
      </c>
      <c r="D22" s="44" t="s">
        <v>765</v>
      </c>
      <c r="E22" s="143" t="s">
        <v>918</v>
      </c>
      <c r="F22" s="54" t="s">
        <v>355</v>
      </c>
      <c r="G22" s="20" t="s">
        <v>1030</v>
      </c>
      <c r="H22" s="55" t="s">
        <v>1043</v>
      </c>
      <c r="I22" s="44" t="s">
        <v>1046</v>
      </c>
    </row>
    <row r="23" spans="1:9" x14ac:dyDescent="0.25">
      <c r="A23" s="141">
        <v>15</v>
      </c>
      <c r="B23" s="142" t="s">
        <v>133</v>
      </c>
      <c r="C23" s="142" t="s">
        <v>134</v>
      </c>
      <c r="D23" s="44" t="s">
        <v>766</v>
      </c>
      <c r="E23" s="143" t="s">
        <v>132</v>
      </c>
      <c r="F23" s="54" t="s">
        <v>353</v>
      </c>
      <c r="G23" s="20" t="s">
        <v>920</v>
      </c>
      <c r="H23" s="55" t="s">
        <v>1044</v>
      </c>
      <c r="I23" s="44" t="s">
        <v>1045</v>
      </c>
    </row>
    <row r="24" spans="1:9" ht="75" x14ac:dyDescent="0.25">
      <c r="A24" s="141">
        <v>16</v>
      </c>
      <c r="B24" s="142" t="s">
        <v>5</v>
      </c>
      <c r="C24" s="142" t="s">
        <v>6</v>
      </c>
      <c r="D24" s="44" t="s">
        <v>893</v>
      </c>
      <c r="E24" s="143" t="s">
        <v>767</v>
      </c>
      <c r="F24" s="54" t="s">
        <v>355</v>
      </c>
      <c r="G24" s="20" t="s">
        <v>924</v>
      </c>
      <c r="H24" s="55" t="s">
        <v>1019</v>
      </c>
      <c r="I24" s="44" t="s">
        <v>1020</v>
      </c>
    </row>
    <row r="25" spans="1:9" x14ac:dyDescent="0.25">
      <c r="A25" s="141">
        <v>17</v>
      </c>
      <c r="B25" s="142" t="s">
        <v>5</v>
      </c>
      <c r="C25" s="142" t="s">
        <v>79</v>
      </c>
      <c r="D25" s="44" t="s">
        <v>778</v>
      </c>
      <c r="E25" s="143" t="s">
        <v>735</v>
      </c>
      <c r="F25" s="54" t="s">
        <v>355</v>
      </c>
      <c r="G25" s="20" t="s">
        <v>924</v>
      </c>
      <c r="H25" s="55" t="s">
        <v>974</v>
      </c>
      <c r="I25" s="44" t="s">
        <v>976</v>
      </c>
    </row>
    <row r="26" spans="1:9" x14ac:dyDescent="0.25">
      <c r="A26" s="141">
        <v>17</v>
      </c>
      <c r="B26" s="142" t="s">
        <v>5</v>
      </c>
      <c r="C26" s="142" t="s">
        <v>79</v>
      </c>
      <c r="D26" s="44" t="s">
        <v>778</v>
      </c>
      <c r="E26" s="143" t="s">
        <v>736</v>
      </c>
      <c r="F26" s="54" t="s">
        <v>355</v>
      </c>
      <c r="G26" s="20" t="s">
        <v>924</v>
      </c>
      <c r="H26" s="55" t="s">
        <v>975</v>
      </c>
      <c r="I26" s="44" t="s">
        <v>976</v>
      </c>
    </row>
    <row r="27" spans="1:9" x14ac:dyDescent="0.25">
      <c r="A27" s="141">
        <v>18</v>
      </c>
      <c r="B27" s="142" t="s">
        <v>5</v>
      </c>
      <c r="C27" s="142" t="s">
        <v>426</v>
      </c>
      <c r="D27" s="44" t="s">
        <v>773</v>
      </c>
      <c r="E27" s="143" t="s">
        <v>737</v>
      </c>
      <c r="F27" s="54" t="s">
        <v>355</v>
      </c>
      <c r="G27" s="20" t="s">
        <v>924</v>
      </c>
      <c r="H27" s="55" t="s">
        <v>979</v>
      </c>
      <c r="I27" s="44" t="s">
        <v>981</v>
      </c>
    </row>
    <row r="28" spans="1:9" x14ac:dyDescent="0.25">
      <c r="A28" s="141">
        <v>18</v>
      </c>
      <c r="B28" s="142" t="s">
        <v>5</v>
      </c>
      <c r="C28" s="142" t="s">
        <v>426</v>
      </c>
      <c r="D28" s="44" t="s">
        <v>773</v>
      </c>
      <c r="E28" s="143" t="s">
        <v>738</v>
      </c>
      <c r="F28" s="54" t="s">
        <v>355</v>
      </c>
      <c r="G28" s="20" t="s">
        <v>924</v>
      </c>
      <c r="H28" s="55" t="s">
        <v>980</v>
      </c>
      <c r="I28" s="44" t="s">
        <v>982</v>
      </c>
    </row>
    <row r="29" spans="1:9" x14ac:dyDescent="0.25">
      <c r="A29" s="141">
        <v>19</v>
      </c>
      <c r="B29" s="142" t="s">
        <v>5</v>
      </c>
      <c r="C29" s="142" t="s">
        <v>67</v>
      </c>
      <c r="D29" s="44" t="s">
        <v>704</v>
      </c>
      <c r="E29" s="143" t="s">
        <v>739</v>
      </c>
      <c r="F29" s="54" t="s">
        <v>355</v>
      </c>
      <c r="G29" s="20" t="s">
        <v>924</v>
      </c>
      <c r="H29" s="55" t="s">
        <v>977</v>
      </c>
      <c r="I29" s="44" t="s">
        <v>984</v>
      </c>
    </row>
    <row r="30" spans="1:9" x14ac:dyDescent="0.25">
      <c r="A30" s="141">
        <v>19</v>
      </c>
      <c r="B30" s="142" t="s">
        <v>5</v>
      </c>
      <c r="C30" s="142" t="s">
        <v>67</v>
      </c>
      <c r="D30" s="44" t="s">
        <v>704</v>
      </c>
      <c r="E30" s="143" t="s">
        <v>740</v>
      </c>
      <c r="F30" s="54" t="s">
        <v>355</v>
      </c>
      <c r="G30" s="20" t="s">
        <v>924</v>
      </c>
      <c r="H30" s="55" t="s">
        <v>978</v>
      </c>
      <c r="I30" s="44" t="s">
        <v>985</v>
      </c>
    </row>
    <row r="31" spans="1:9" x14ac:dyDescent="0.25">
      <c r="A31" s="141">
        <v>19</v>
      </c>
      <c r="B31" s="142" t="s">
        <v>5</v>
      </c>
      <c r="C31" s="142" t="s">
        <v>67</v>
      </c>
      <c r="D31" s="44" t="s">
        <v>704</v>
      </c>
      <c r="E31" s="143" t="s">
        <v>741</v>
      </c>
      <c r="F31" s="54" t="s">
        <v>355</v>
      </c>
      <c r="G31" s="20" t="s">
        <v>924</v>
      </c>
      <c r="H31" s="55" t="s">
        <v>983</v>
      </c>
      <c r="I31" s="44" t="s">
        <v>986</v>
      </c>
    </row>
    <row r="32" spans="1:9" x14ac:dyDescent="0.25">
      <c r="A32" s="141">
        <v>19</v>
      </c>
      <c r="B32" s="142" t="s">
        <v>5</v>
      </c>
      <c r="C32" s="142" t="s">
        <v>67</v>
      </c>
      <c r="D32" s="44" t="s">
        <v>704</v>
      </c>
      <c r="E32" s="143" t="s">
        <v>742</v>
      </c>
      <c r="F32" s="54" t="s">
        <v>355</v>
      </c>
      <c r="G32" s="20" t="s">
        <v>924</v>
      </c>
      <c r="H32" s="55" t="s">
        <v>988</v>
      </c>
      <c r="I32" s="44" t="s">
        <v>987</v>
      </c>
    </row>
    <row r="33" spans="1:9" x14ac:dyDescent="0.25">
      <c r="A33" s="141">
        <v>19</v>
      </c>
      <c r="B33" s="142" t="s">
        <v>5</v>
      </c>
      <c r="C33" s="142" t="s">
        <v>67</v>
      </c>
      <c r="D33" s="44" t="s">
        <v>704</v>
      </c>
      <c r="E33" s="143" t="s">
        <v>743</v>
      </c>
      <c r="F33" s="54" t="s">
        <v>355</v>
      </c>
      <c r="G33" s="20" t="s">
        <v>924</v>
      </c>
      <c r="H33" s="55" t="s">
        <v>989</v>
      </c>
      <c r="I33" s="44" t="s">
        <v>991</v>
      </c>
    </row>
    <row r="34" spans="1:9" x14ac:dyDescent="0.25">
      <c r="A34" s="141">
        <v>19</v>
      </c>
      <c r="B34" s="142" t="s">
        <v>5</v>
      </c>
      <c r="C34" s="142" t="s">
        <v>67</v>
      </c>
      <c r="D34" s="44" t="s">
        <v>704</v>
      </c>
      <c r="E34" s="143" t="s">
        <v>744</v>
      </c>
      <c r="F34" s="54" t="s">
        <v>355</v>
      </c>
      <c r="G34" s="20" t="s">
        <v>924</v>
      </c>
      <c r="H34" s="55" t="s">
        <v>990</v>
      </c>
      <c r="I34" s="44" t="s">
        <v>992</v>
      </c>
    </row>
    <row r="35" spans="1:9" ht="45" x14ac:dyDescent="0.25">
      <c r="A35" s="141">
        <v>20</v>
      </c>
      <c r="B35" s="142" t="s">
        <v>5</v>
      </c>
      <c r="C35" s="142" t="s">
        <v>19</v>
      </c>
      <c r="D35" s="44" t="s">
        <v>651</v>
      </c>
      <c r="E35" s="143" t="s">
        <v>768</v>
      </c>
      <c r="F35" s="54" t="s">
        <v>887</v>
      </c>
      <c r="G35" s="20" t="s">
        <v>1041</v>
      </c>
      <c r="H35" s="55" t="s">
        <v>1048</v>
      </c>
      <c r="I35" s="44" t="s">
        <v>1049</v>
      </c>
    </row>
    <row r="36" spans="1:9" ht="30" x14ac:dyDescent="0.25">
      <c r="A36" s="141">
        <v>22</v>
      </c>
      <c r="B36" s="142" t="s">
        <v>5</v>
      </c>
      <c r="C36" s="142" t="s">
        <v>21</v>
      </c>
      <c r="D36" s="44" t="s">
        <v>653</v>
      </c>
      <c r="E36" s="143" t="s">
        <v>776</v>
      </c>
      <c r="F36" s="54" t="s">
        <v>887</v>
      </c>
      <c r="G36" s="20" t="s">
        <v>1050</v>
      </c>
      <c r="H36" s="55" t="s">
        <v>1053</v>
      </c>
      <c r="I36" s="44" t="s">
        <v>1054</v>
      </c>
    </row>
    <row r="37" spans="1:9" ht="30" x14ac:dyDescent="0.25">
      <c r="A37" s="141">
        <v>24</v>
      </c>
      <c r="B37" s="142" t="s">
        <v>5</v>
      </c>
      <c r="C37" s="142" t="s">
        <v>22</v>
      </c>
      <c r="D37" s="44" t="s">
        <v>656</v>
      </c>
      <c r="E37" s="143" t="s">
        <v>896</v>
      </c>
      <c r="F37" s="54" t="s">
        <v>355</v>
      </c>
      <c r="G37" s="20" t="s">
        <v>1030</v>
      </c>
      <c r="H37" s="55" t="s">
        <v>1072</v>
      </c>
      <c r="I37" s="44" t="s">
        <v>1078</v>
      </c>
    </row>
    <row r="38" spans="1:9" ht="30" x14ac:dyDescent="0.25">
      <c r="A38" s="141">
        <v>24</v>
      </c>
      <c r="B38" s="142" t="s">
        <v>5</v>
      </c>
      <c r="C38" s="142" t="s">
        <v>22</v>
      </c>
      <c r="D38" s="44" t="s">
        <v>656</v>
      </c>
      <c r="E38" s="143" t="s">
        <v>897</v>
      </c>
      <c r="F38" s="54" t="s">
        <v>355</v>
      </c>
      <c r="G38" s="20" t="s">
        <v>1030</v>
      </c>
      <c r="H38" s="55" t="s">
        <v>1073</v>
      </c>
      <c r="I38" s="44" t="s">
        <v>1079</v>
      </c>
    </row>
    <row r="39" spans="1:9" ht="30" x14ac:dyDescent="0.25">
      <c r="A39" s="141">
        <v>24</v>
      </c>
      <c r="B39" s="142" t="s">
        <v>5</v>
      </c>
      <c r="C39" s="142" t="s">
        <v>22</v>
      </c>
      <c r="D39" s="44" t="s">
        <v>656</v>
      </c>
      <c r="E39" s="143" t="s">
        <v>898</v>
      </c>
      <c r="F39" s="54" t="s">
        <v>355</v>
      </c>
      <c r="G39" s="20" t="s">
        <v>1030</v>
      </c>
      <c r="H39" s="55" t="s">
        <v>1074</v>
      </c>
      <c r="I39" s="44" t="s">
        <v>1077</v>
      </c>
    </row>
    <row r="40" spans="1:9" ht="30" x14ac:dyDescent="0.25">
      <c r="A40" s="141">
        <v>24</v>
      </c>
      <c r="B40" s="142" t="s">
        <v>5</v>
      </c>
      <c r="C40" s="142" t="s">
        <v>22</v>
      </c>
      <c r="D40" s="44" t="s">
        <v>656</v>
      </c>
      <c r="E40" s="143" t="s">
        <v>899</v>
      </c>
      <c r="F40" s="54" t="s">
        <v>355</v>
      </c>
      <c r="G40" s="20" t="s">
        <v>1030</v>
      </c>
      <c r="H40" s="55" t="s">
        <v>1075</v>
      </c>
      <c r="I40" s="44" t="s">
        <v>1076</v>
      </c>
    </row>
    <row r="41" spans="1:9" ht="75" x14ac:dyDescent="0.25">
      <c r="A41" s="141">
        <v>24</v>
      </c>
      <c r="B41" s="142" t="s">
        <v>5</v>
      </c>
      <c r="C41" s="142" t="s">
        <v>22</v>
      </c>
      <c r="D41" s="44" t="s">
        <v>656</v>
      </c>
      <c r="E41" s="143" t="s">
        <v>900</v>
      </c>
      <c r="F41" s="54" t="s">
        <v>887</v>
      </c>
      <c r="G41" s="20" t="s">
        <v>1070</v>
      </c>
      <c r="H41" s="55" t="s">
        <v>1052</v>
      </c>
      <c r="I41" s="44" t="s">
        <v>1080</v>
      </c>
    </row>
    <row r="42" spans="1:9" ht="75" x14ac:dyDescent="0.25">
      <c r="A42" s="141">
        <v>24</v>
      </c>
      <c r="B42" s="142" t="s">
        <v>5</v>
      </c>
      <c r="C42" s="142" t="s">
        <v>22</v>
      </c>
      <c r="D42" s="44" t="s">
        <v>656</v>
      </c>
      <c r="E42" s="143" t="s">
        <v>901</v>
      </c>
      <c r="F42" s="54" t="s">
        <v>887</v>
      </c>
      <c r="G42" s="20" t="s">
        <v>1071</v>
      </c>
      <c r="H42" s="55" t="s">
        <v>1052</v>
      </c>
      <c r="I42" s="44" t="s">
        <v>1081</v>
      </c>
    </row>
    <row r="43" spans="1:9" ht="75" x14ac:dyDescent="0.25">
      <c r="A43" s="141">
        <v>24</v>
      </c>
      <c r="B43" s="142" t="s">
        <v>5</v>
      </c>
      <c r="C43" s="142" t="s">
        <v>22</v>
      </c>
      <c r="D43" s="44" t="s">
        <v>656</v>
      </c>
      <c r="E43" s="143" t="s">
        <v>902</v>
      </c>
      <c r="F43" s="54" t="s">
        <v>887</v>
      </c>
      <c r="G43" s="20" t="s">
        <v>1051</v>
      </c>
      <c r="H43" s="55" t="s">
        <v>1052</v>
      </c>
      <c r="I43" s="44" t="s">
        <v>1082</v>
      </c>
    </row>
    <row r="44" spans="1:9" ht="60" x14ac:dyDescent="0.25">
      <c r="A44" s="141">
        <v>41</v>
      </c>
      <c r="B44" s="142" t="s">
        <v>41</v>
      </c>
      <c r="C44" s="142" t="s">
        <v>451</v>
      </c>
      <c r="D44" s="44" t="s">
        <v>799</v>
      </c>
      <c r="E44" s="143" t="s">
        <v>903</v>
      </c>
      <c r="F44" s="54" t="s">
        <v>887</v>
      </c>
      <c r="G44" s="20" t="s">
        <v>1030</v>
      </c>
      <c r="H44" s="55" t="s">
        <v>1087</v>
      </c>
      <c r="I44" s="44" t="s">
        <v>1089</v>
      </c>
    </row>
    <row r="45" spans="1:9" ht="60" x14ac:dyDescent="0.25">
      <c r="A45" s="141">
        <v>41</v>
      </c>
      <c r="B45" s="142" t="s">
        <v>41</v>
      </c>
      <c r="C45" s="142" t="s">
        <v>451</v>
      </c>
      <c r="D45" s="44" t="s">
        <v>799</v>
      </c>
      <c r="E45" s="143" t="s">
        <v>904</v>
      </c>
      <c r="F45" s="54" t="s">
        <v>887</v>
      </c>
      <c r="G45" s="20" t="s">
        <v>1030</v>
      </c>
      <c r="H45" s="55" t="s">
        <v>1088</v>
      </c>
      <c r="I45" s="44" t="s">
        <v>1090</v>
      </c>
    </row>
    <row r="46" spans="1:9" x14ac:dyDescent="0.25">
      <c r="A46" s="141">
        <v>45</v>
      </c>
      <c r="B46" s="142" t="s">
        <v>137</v>
      </c>
      <c r="C46" s="142">
        <v>2910386</v>
      </c>
      <c r="D46" s="44" t="s">
        <v>812</v>
      </c>
      <c r="E46" s="143" t="s">
        <v>456</v>
      </c>
      <c r="F46" s="54" t="s">
        <v>353</v>
      </c>
      <c r="G46" s="20" t="s">
        <v>920</v>
      </c>
      <c r="H46" s="55" t="s">
        <v>932</v>
      </c>
      <c r="I46" s="44" t="s">
        <v>1091</v>
      </c>
    </row>
    <row r="47" spans="1:9" ht="45" x14ac:dyDescent="0.25">
      <c r="A47" s="141">
        <v>46</v>
      </c>
      <c r="B47" s="142" t="s">
        <v>137</v>
      </c>
      <c r="C47" s="142">
        <v>2905743</v>
      </c>
      <c r="D47" s="44" t="s">
        <v>1083</v>
      </c>
      <c r="E47" s="143" t="s">
        <v>720</v>
      </c>
      <c r="F47" s="54" t="s">
        <v>353</v>
      </c>
      <c r="G47" s="20" t="s">
        <v>920</v>
      </c>
      <c r="H47" s="55" t="s">
        <v>951</v>
      </c>
      <c r="I47" s="44" t="s">
        <v>961</v>
      </c>
    </row>
    <row r="48" spans="1:9" ht="45" x14ac:dyDescent="0.25">
      <c r="A48" s="141">
        <v>46</v>
      </c>
      <c r="B48" s="142" t="s">
        <v>137</v>
      </c>
      <c r="C48" s="142">
        <v>2905743</v>
      </c>
      <c r="D48" s="44" t="s">
        <v>1083</v>
      </c>
      <c r="E48" s="143" t="s">
        <v>721</v>
      </c>
      <c r="F48" s="54" t="s">
        <v>353</v>
      </c>
      <c r="G48" s="20" t="s">
        <v>920</v>
      </c>
      <c r="H48" s="55" t="s">
        <v>952</v>
      </c>
      <c r="I48" s="44" t="s">
        <v>961</v>
      </c>
    </row>
    <row r="49" spans="1:9" ht="45" x14ac:dyDescent="0.25">
      <c r="A49" s="141">
        <v>46</v>
      </c>
      <c r="B49" s="142" t="s">
        <v>137</v>
      </c>
      <c r="C49" s="142">
        <v>2905743</v>
      </c>
      <c r="D49" s="44" t="s">
        <v>1084</v>
      </c>
      <c r="E49" s="143" t="s">
        <v>722</v>
      </c>
      <c r="F49" s="54" t="s">
        <v>355</v>
      </c>
      <c r="G49" s="20" t="s">
        <v>924</v>
      </c>
      <c r="H49" s="55" t="s">
        <v>953</v>
      </c>
      <c r="I49" s="44" t="s">
        <v>961</v>
      </c>
    </row>
    <row r="50" spans="1:9" ht="45" x14ac:dyDescent="0.25">
      <c r="A50" s="141">
        <v>46</v>
      </c>
      <c r="B50" s="142" t="s">
        <v>137</v>
      </c>
      <c r="C50" s="142">
        <v>2905743</v>
      </c>
      <c r="D50" s="44" t="s">
        <v>1084</v>
      </c>
      <c r="E50" s="143" t="s">
        <v>723</v>
      </c>
      <c r="F50" s="54" t="s">
        <v>355</v>
      </c>
      <c r="G50" s="20" t="s">
        <v>924</v>
      </c>
      <c r="H50" s="55" t="s">
        <v>1021</v>
      </c>
      <c r="I50" s="44" t="s">
        <v>961</v>
      </c>
    </row>
    <row r="51" spans="1:9" ht="45" x14ac:dyDescent="0.25">
      <c r="A51" s="141">
        <v>46</v>
      </c>
      <c r="B51" s="142" t="s">
        <v>137</v>
      </c>
      <c r="C51" s="142">
        <v>2905743</v>
      </c>
      <c r="D51" s="44" t="s">
        <v>1084</v>
      </c>
      <c r="E51" s="143" t="s">
        <v>725</v>
      </c>
      <c r="F51" s="54" t="s">
        <v>355</v>
      </c>
      <c r="G51" s="20" t="s">
        <v>924</v>
      </c>
      <c r="H51" s="55" t="s">
        <v>1022</v>
      </c>
      <c r="I51" s="44" t="s">
        <v>961</v>
      </c>
    </row>
    <row r="52" spans="1:9" ht="45" x14ac:dyDescent="0.25">
      <c r="A52" s="141">
        <v>46</v>
      </c>
      <c r="B52" s="142" t="s">
        <v>137</v>
      </c>
      <c r="C52" s="142">
        <v>2905743</v>
      </c>
      <c r="D52" s="44" t="s">
        <v>1084</v>
      </c>
      <c r="E52" s="143" t="s">
        <v>726</v>
      </c>
      <c r="F52" s="54" t="s">
        <v>355</v>
      </c>
      <c r="G52" s="20" t="s">
        <v>924</v>
      </c>
      <c r="H52" s="55" t="s">
        <v>1023</v>
      </c>
      <c r="I52" s="44" t="s">
        <v>961</v>
      </c>
    </row>
    <row r="53" spans="1:9" ht="45" x14ac:dyDescent="0.25">
      <c r="A53" s="141">
        <v>46</v>
      </c>
      <c r="B53" s="142" t="s">
        <v>137</v>
      </c>
      <c r="C53" s="142">
        <v>2905743</v>
      </c>
      <c r="D53" s="44" t="s">
        <v>1086</v>
      </c>
      <c r="E53" s="143" t="s">
        <v>727</v>
      </c>
      <c r="F53" s="54" t="s">
        <v>887</v>
      </c>
      <c r="G53" s="20" t="s">
        <v>948</v>
      </c>
      <c r="H53" s="55" t="s">
        <v>1058</v>
      </c>
      <c r="I53" s="44" t="s">
        <v>961</v>
      </c>
    </row>
    <row r="54" spans="1:9" ht="45" x14ac:dyDescent="0.25">
      <c r="A54" s="141">
        <v>46</v>
      </c>
      <c r="B54" s="142" t="s">
        <v>137</v>
      </c>
      <c r="C54" s="142">
        <v>2905743</v>
      </c>
      <c r="D54" s="44" t="s">
        <v>1086</v>
      </c>
      <c r="E54" s="143" t="s">
        <v>728</v>
      </c>
      <c r="F54" s="54" t="s">
        <v>887</v>
      </c>
      <c r="G54" s="20" t="s">
        <v>948</v>
      </c>
      <c r="H54" s="55" t="s">
        <v>1059</v>
      </c>
      <c r="I54" s="44" t="s">
        <v>961</v>
      </c>
    </row>
    <row r="55" spans="1:9" ht="45" x14ac:dyDescent="0.25">
      <c r="A55" s="141">
        <v>46</v>
      </c>
      <c r="B55" s="142" t="s">
        <v>137</v>
      </c>
      <c r="C55" s="142">
        <v>2905743</v>
      </c>
      <c r="D55" s="44" t="s">
        <v>1085</v>
      </c>
      <c r="E55" s="143" t="s">
        <v>724</v>
      </c>
      <c r="F55" s="54" t="s">
        <v>354</v>
      </c>
      <c r="G55" s="20" t="s">
        <v>925</v>
      </c>
      <c r="H55" s="55" t="s">
        <v>954</v>
      </c>
      <c r="I55" s="44" t="s">
        <v>961</v>
      </c>
    </row>
    <row r="56" spans="1:9" x14ac:dyDescent="0.25">
      <c r="A56" s="141">
        <v>68</v>
      </c>
      <c r="B56" s="142" t="s">
        <v>14</v>
      </c>
      <c r="C56" s="142" t="s">
        <v>478</v>
      </c>
      <c r="D56" s="44" t="s">
        <v>815</v>
      </c>
      <c r="E56" s="143" t="s">
        <v>731</v>
      </c>
      <c r="F56" s="54" t="s">
        <v>887</v>
      </c>
      <c r="G56" s="20" t="s">
        <v>1039</v>
      </c>
      <c r="H56" s="55" t="s">
        <v>933</v>
      </c>
      <c r="I56" s="44" t="s">
        <v>1056</v>
      </c>
    </row>
    <row r="57" spans="1:9" x14ac:dyDescent="0.25">
      <c r="A57" s="141">
        <v>68</v>
      </c>
      <c r="B57" s="142" t="s">
        <v>14</v>
      </c>
      <c r="C57" s="142" t="s">
        <v>478</v>
      </c>
      <c r="D57" s="44" t="s">
        <v>815</v>
      </c>
      <c r="E57" s="143" t="s">
        <v>732</v>
      </c>
      <c r="F57" s="54" t="s">
        <v>887</v>
      </c>
      <c r="G57" s="20" t="s">
        <v>1040</v>
      </c>
      <c r="H57" s="55" t="s">
        <v>933</v>
      </c>
      <c r="I57" s="44" t="s">
        <v>1057</v>
      </c>
    </row>
    <row r="58" spans="1:9" x14ac:dyDescent="0.25">
      <c r="A58" s="141">
        <v>74</v>
      </c>
      <c r="B58" s="142" t="s">
        <v>14</v>
      </c>
      <c r="C58" s="142" t="s">
        <v>486</v>
      </c>
      <c r="D58" s="44" t="s">
        <v>814</v>
      </c>
      <c r="E58" s="143" t="s">
        <v>487</v>
      </c>
      <c r="F58" s="54" t="s">
        <v>887</v>
      </c>
      <c r="G58" s="20" t="s">
        <v>1041</v>
      </c>
      <c r="H58" s="55" t="s">
        <v>933</v>
      </c>
      <c r="I58" s="44" t="s">
        <v>1055</v>
      </c>
    </row>
    <row r="59" spans="1:9" x14ac:dyDescent="0.25">
      <c r="A59" s="141">
        <v>77</v>
      </c>
      <c r="B59" s="142" t="s">
        <v>14</v>
      </c>
      <c r="C59" s="142" t="s">
        <v>491</v>
      </c>
      <c r="D59" s="44" t="s">
        <v>1063</v>
      </c>
      <c r="E59" s="143" t="s">
        <v>729</v>
      </c>
      <c r="F59" s="54" t="s">
        <v>353</v>
      </c>
      <c r="G59" s="20" t="s">
        <v>946</v>
      </c>
      <c r="H59" s="55" t="s">
        <v>933</v>
      </c>
      <c r="I59" s="44" t="s">
        <v>1065</v>
      </c>
    </row>
    <row r="60" spans="1:9" x14ac:dyDescent="0.25">
      <c r="A60" s="141">
        <v>77</v>
      </c>
      <c r="B60" s="142" t="s">
        <v>14</v>
      </c>
      <c r="C60" s="142" t="s">
        <v>491</v>
      </c>
      <c r="D60" s="44" t="s">
        <v>1064</v>
      </c>
      <c r="E60" s="143" t="s">
        <v>730</v>
      </c>
      <c r="F60" s="54" t="s">
        <v>353</v>
      </c>
      <c r="G60" s="20" t="s">
        <v>947</v>
      </c>
      <c r="H60" s="55" t="s">
        <v>933</v>
      </c>
      <c r="I60" s="44" t="s">
        <v>1066</v>
      </c>
    </row>
    <row r="61" spans="1:9" ht="30" x14ac:dyDescent="0.25">
      <c r="A61" s="141">
        <v>77</v>
      </c>
      <c r="B61" s="142" t="s">
        <v>14</v>
      </c>
      <c r="C61" s="142" t="s">
        <v>491</v>
      </c>
      <c r="D61" s="44" t="s">
        <v>1062</v>
      </c>
      <c r="E61" s="143" t="s">
        <v>733</v>
      </c>
      <c r="F61" s="54" t="s">
        <v>887</v>
      </c>
      <c r="G61" s="20" t="s">
        <v>948</v>
      </c>
      <c r="H61" s="55" t="s">
        <v>1069</v>
      </c>
      <c r="I61" s="44" t="s">
        <v>1068</v>
      </c>
    </row>
    <row r="62" spans="1:9" x14ac:dyDescent="0.25">
      <c r="A62" s="141">
        <v>77</v>
      </c>
      <c r="B62" s="142" t="s">
        <v>14</v>
      </c>
      <c r="C62" s="142" t="s">
        <v>491</v>
      </c>
      <c r="D62" s="44" t="s">
        <v>1061</v>
      </c>
      <c r="E62" s="143" t="s">
        <v>734</v>
      </c>
      <c r="F62" s="54" t="s">
        <v>887</v>
      </c>
      <c r="G62" s="20" t="s">
        <v>949</v>
      </c>
      <c r="H62" s="55" t="s">
        <v>933</v>
      </c>
      <c r="I62" s="44" t="s">
        <v>1067</v>
      </c>
    </row>
    <row r="63" spans="1:9" ht="75" x14ac:dyDescent="0.25">
      <c r="A63" s="141">
        <v>98</v>
      </c>
      <c r="B63" s="142" t="s">
        <v>14</v>
      </c>
      <c r="C63" s="142" t="s">
        <v>524</v>
      </c>
      <c r="D63" s="44" t="s">
        <v>937</v>
      </c>
      <c r="E63" s="143" t="s">
        <v>745</v>
      </c>
      <c r="F63" s="54" t="s">
        <v>353</v>
      </c>
      <c r="G63" s="20" t="s">
        <v>920</v>
      </c>
      <c r="H63" s="55" t="s">
        <v>960</v>
      </c>
      <c r="I63" s="44" t="s">
        <v>962</v>
      </c>
    </row>
    <row r="64" spans="1:9" ht="75" x14ac:dyDescent="0.25">
      <c r="A64" s="141">
        <v>98</v>
      </c>
      <c r="B64" s="142" t="s">
        <v>14</v>
      </c>
      <c r="C64" s="142" t="s">
        <v>524</v>
      </c>
      <c r="D64" s="44" t="s">
        <v>937</v>
      </c>
      <c r="E64" s="143" t="s">
        <v>746</v>
      </c>
      <c r="F64" s="54" t="s">
        <v>354</v>
      </c>
      <c r="G64" s="20" t="s">
        <v>925</v>
      </c>
      <c r="H64" s="55" t="s">
        <v>970</v>
      </c>
      <c r="I64" s="44" t="s">
        <v>963</v>
      </c>
    </row>
    <row r="65" spans="1:9" ht="45" x14ac:dyDescent="0.25">
      <c r="A65" s="141">
        <v>99</v>
      </c>
      <c r="B65" s="142" t="s">
        <v>14</v>
      </c>
      <c r="C65" s="142" t="s">
        <v>525</v>
      </c>
      <c r="D65" s="44" t="s">
        <v>936</v>
      </c>
      <c r="E65" s="143" t="s">
        <v>85</v>
      </c>
      <c r="F65" s="54" t="s">
        <v>354</v>
      </c>
      <c r="G65" s="20" t="s">
        <v>925</v>
      </c>
      <c r="H65" s="55" t="s">
        <v>971</v>
      </c>
      <c r="I65" s="44" t="s">
        <v>964</v>
      </c>
    </row>
    <row r="66" spans="1:9" ht="45" x14ac:dyDescent="0.25">
      <c r="A66" s="141">
        <v>100</v>
      </c>
      <c r="B66" s="142" t="s">
        <v>14</v>
      </c>
      <c r="C66" s="142" t="s">
        <v>526</v>
      </c>
      <c r="D66" s="44" t="s">
        <v>938</v>
      </c>
      <c r="E66" s="143" t="s">
        <v>83</v>
      </c>
      <c r="F66" s="54" t="s">
        <v>354</v>
      </c>
      <c r="G66" s="20" t="s">
        <v>925</v>
      </c>
      <c r="H66" s="55" t="s">
        <v>959</v>
      </c>
      <c r="I66" s="44" t="s">
        <v>965</v>
      </c>
    </row>
    <row r="67" spans="1:9" ht="30" x14ac:dyDescent="0.25">
      <c r="A67" s="141">
        <v>101</v>
      </c>
      <c r="B67" s="142" t="s">
        <v>14</v>
      </c>
      <c r="C67" s="142" t="s">
        <v>527</v>
      </c>
      <c r="D67" s="44" t="s">
        <v>966</v>
      </c>
      <c r="E67" s="143" t="s">
        <v>86</v>
      </c>
      <c r="F67" s="54" t="s">
        <v>354</v>
      </c>
      <c r="G67" s="20" t="s">
        <v>925</v>
      </c>
      <c r="H67" s="55" t="s">
        <v>972</v>
      </c>
      <c r="I67" s="44" t="s">
        <v>968</v>
      </c>
    </row>
    <row r="68" spans="1:9" ht="30" x14ac:dyDescent="0.25">
      <c r="A68" s="141">
        <v>101</v>
      </c>
      <c r="B68" s="142" t="s">
        <v>14</v>
      </c>
      <c r="C68" s="142" t="s">
        <v>527</v>
      </c>
      <c r="D68" s="44" t="s">
        <v>967</v>
      </c>
      <c r="E68" s="143" t="s">
        <v>84</v>
      </c>
      <c r="F68" s="54" t="s">
        <v>354</v>
      </c>
      <c r="G68" s="20" t="s">
        <v>925</v>
      </c>
      <c r="H68" s="55" t="s">
        <v>973</v>
      </c>
      <c r="I68" s="44" t="s">
        <v>969</v>
      </c>
    </row>
    <row r="69" spans="1:9" x14ac:dyDescent="0.25">
      <c r="A69" s="141">
        <v>109</v>
      </c>
      <c r="B69" s="142" t="s">
        <v>14</v>
      </c>
      <c r="C69" s="142" t="s">
        <v>537</v>
      </c>
      <c r="D69" s="44" t="s">
        <v>958</v>
      </c>
      <c r="E69" s="143" t="s">
        <v>749</v>
      </c>
      <c r="F69" s="54" t="s">
        <v>353</v>
      </c>
      <c r="G69" s="20" t="s">
        <v>920</v>
      </c>
      <c r="H69" s="55" t="s">
        <v>955</v>
      </c>
      <c r="I69" s="44" t="s">
        <v>1017</v>
      </c>
    </row>
    <row r="70" spans="1:9" x14ac:dyDescent="0.25">
      <c r="A70" s="141">
        <v>109</v>
      </c>
      <c r="B70" s="142" t="s">
        <v>14</v>
      </c>
      <c r="C70" s="142" t="s">
        <v>537</v>
      </c>
      <c r="D70" s="44" t="s">
        <v>958</v>
      </c>
      <c r="E70" s="143" t="s">
        <v>750</v>
      </c>
      <c r="F70" s="54" t="s">
        <v>353</v>
      </c>
      <c r="G70" s="20" t="s">
        <v>920</v>
      </c>
      <c r="H70" s="55" t="s">
        <v>956</v>
      </c>
      <c r="I70" s="44" t="s">
        <v>1018</v>
      </c>
    </row>
    <row r="71" spans="1:9" ht="30" x14ac:dyDescent="0.25">
      <c r="A71" s="141">
        <v>109</v>
      </c>
      <c r="B71" s="142" t="s">
        <v>14</v>
      </c>
      <c r="C71" s="142" t="s">
        <v>537</v>
      </c>
      <c r="D71" s="44" t="s">
        <v>957</v>
      </c>
      <c r="E71" s="143" t="s">
        <v>747</v>
      </c>
      <c r="F71" s="54" t="s">
        <v>1031</v>
      </c>
      <c r="G71" s="20" t="s">
        <v>1032</v>
      </c>
      <c r="H71" s="55" t="s">
        <v>1033</v>
      </c>
      <c r="I71" s="44" t="s">
        <v>1036</v>
      </c>
    </row>
    <row r="72" spans="1:9" ht="30" x14ac:dyDescent="0.25">
      <c r="A72" s="141">
        <v>109</v>
      </c>
      <c r="B72" s="142" t="s">
        <v>14</v>
      </c>
      <c r="C72" s="142" t="s">
        <v>537</v>
      </c>
      <c r="D72" s="44" t="s">
        <v>957</v>
      </c>
      <c r="E72" s="143" t="s">
        <v>748</v>
      </c>
      <c r="F72" s="54" t="s">
        <v>1031</v>
      </c>
      <c r="G72" s="20" t="s">
        <v>1032</v>
      </c>
      <c r="H72" s="55" t="s">
        <v>1034</v>
      </c>
      <c r="I72" s="44" t="s">
        <v>1035</v>
      </c>
    </row>
    <row r="73" spans="1:9" x14ac:dyDescent="0.25">
      <c r="A73" s="141">
        <v>112</v>
      </c>
      <c r="B73" s="142" t="s">
        <v>14</v>
      </c>
      <c r="C73" s="142" t="s">
        <v>542</v>
      </c>
      <c r="D73" s="44" t="s">
        <v>868</v>
      </c>
      <c r="E73" s="143" t="s">
        <v>909</v>
      </c>
      <c r="F73" s="54" t="s">
        <v>355</v>
      </c>
      <c r="G73" s="20" t="s">
        <v>924</v>
      </c>
      <c r="H73" s="55" t="s">
        <v>997</v>
      </c>
      <c r="I73" s="44" t="s">
        <v>1009</v>
      </c>
    </row>
    <row r="74" spans="1:9" x14ac:dyDescent="0.25">
      <c r="A74" s="141">
        <v>112</v>
      </c>
      <c r="B74" s="142" t="s">
        <v>14</v>
      </c>
      <c r="C74" s="142" t="s">
        <v>542</v>
      </c>
      <c r="D74" s="44" t="s">
        <v>868</v>
      </c>
      <c r="E74" s="143" t="s">
        <v>910</v>
      </c>
      <c r="F74" s="54" t="s">
        <v>355</v>
      </c>
      <c r="G74" s="20" t="s">
        <v>924</v>
      </c>
      <c r="H74" s="55" t="s">
        <v>998</v>
      </c>
      <c r="I74" s="44" t="s">
        <v>1010</v>
      </c>
    </row>
    <row r="75" spans="1:9" x14ac:dyDescent="0.25">
      <c r="A75" s="141">
        <v>112</v>
      </c>
      <c r="B75" s="142" t="s">
        <v>14</v>
      </c>
      <c r="C75" s="142" t="s">
        <v>542</v>
      </c>
      <c r="D75" s="44" t="s">
        <v>868</v>
      </c>
      <c r="E75" s="143" t="s">
        <v>911</v>
      </c>
      <c r="F75" s="54" t="s">
        <v>355</v>
      </c>
      <c r="G75" s="20" t="s">
        <v>924</v>
      </c>
      <c r="H75" s="55" t="s">
        <v>999</v>
      </c>
      <c r="I75" s="44" t="s">
        <v>1011</v>
      </c>
    </row>
    <row r="76" spans="1:9" x14ac:dyDescent="0.25">
      <c r="A76" s="141">
        <v>112</v>
      </c>
      <c r="B76" s="142" t="s">
        <v>14</v>
      </c>
      <c r="C76" s="142" t="s">
        <v>542</v>
      </c>
      <c r="D76" s="44" t="s">
        <v>868</v>
      </c>
      <c r="E76" s="143" t="s">
        <v>912</v>
      </c>
      <c r="F76" s="54" t="s">
        <v>355</v>
      </c>
      <c r="G76" s="20" t="s">
        <v>924</v>
      </c>
      <c r="H76" s="55" t="s">
        <v>1000</v>
      </c>
      <c r="I76" s="44" t="s">
        <v>1012</v>
      </c>
    </row>
    <row r="77" spans="1:9" x14ac:dyDescent="0.25">
      <c r="A77" s="141">
        <v>112</v>
      </c>
      <c r="B77" s="142" t="s">
        <v>14</v>
      </c>
      <c r="C77" s="142" t="s">
        <v>542</v>
      </c>
      <c r="D77" s="44" t="s">
        <v>868</v>
      </c>
      <c r="E77" s="143" t="s">
        <v>913</v>
      </c>
      <c r="F77" s="54" t="s">
        <v>355</v>
      </c>
      <c r="G77" s="20" t="s">
        <v>924</v>
      </c>
      <c r="H77" s="55" t="s">
        <v>1001</v>
      </c>
      <c r="I77" s="44" t="s">
        <v>1013</v>
      </c>
    </row>
    <row r="78" spans="1:9" x14ac:dyDescent="0.25">
      <c r="A78" s="141">
        <v>112</v>
      </c>
      <c r="B78" s="142" t="s">
        <v>14</v>
      </c>
      <c r="C78" s="142" t="s">
        <v>542</v>
      </c>
      <c r="D78" s="44" t="s">
        <v>868</v>
      </c>
      <c r="E78" s="143" t="s">
        <v>914</v>
      </c>
      <c r="F78" s="54" t="s">
        <v>355</v>
      </c>
      <c r="G78" s="20" t="s">
        <v>924</v>
      </c>
      <c r="H78" s="55" t="s">
        <v>1002</v>
      </c>
      <c r="I78" s="44" t="s">
        <v>1014</v>
      </c>
    </row>
    <row r="79" spans="1:9" x14ac:dyDescent="0.25">
      <c r="A79" s="141">
        <v>112</v>
      </c>
      <c r="B79" s="142" t="s">
        <v>14</v>
      </c>
      <c r="C79" s="142" t="s">
        <v>542</v>
      </c>
      <c r="D79" s="44" t="s">
        <v>868</v>
      </c>
      <c r="E79" s="143" t="s">
        <v>915</v>
      </c>
      <c r="F79" s="54" t="s">
        <v>355</v>
      </c>
      <c r="G79" s="20" t="s">
        <v>924</v>
      </c>
      <c r="H79" s="55" t="s">
        <v>1003</v>
      </c>
      <c r="I79" s="44" t="s">
        <v>1015</v>
      </c>
    </row>
    <row r="80" spans="1:9" x14ac:dyDescent="0.25">
      <c r="A80" s="141">
        <v>112</v>
      </c>
      <c r="B80" s="142" t="s">
        <v>14</v>
      </c>
      <c r="C80" s="142" t="s">
        <v>542</v>
      </c>
      <c r="D80" s="44" t="s">
        <v>868</v>
      </c>
      <c r="E80" s="143" t="s">
        <v>916</v>
      </c>
      <c r="F80" s="54" t="s">
        <v>355</v>
      </c>
      <c r="G80" s="20" t="s">
        <v>924</v>
      </c>
      <c r="H80" s="55" t="s">
        <v>1004</v>
      </c>
      <c r="I80" s="44" t="s">
        <v>1016</v>
      </c>
    </row>
    <row r="81" spans="1:9" x14ac:dyDescent="0.25">
      <c r="A81" s="141">
        <v>112</v>
      </c>
      <c r="B81" s="142" t="s">
        <v>14</v>
      </c>
      <c r="C81" s="142" t="s">
        <v>542</v>
      </c>
      <c r="D81" s="44" t="s">
        <v>868</v>
      </c>
      <c r="E81" s="143" t="s">
        <v>905</v>
      </c>
      <c r="F81" s="54" t="s">
        <v>355</v>
      </c>
      <c r="G81" s="20" t="s">
        <v>924</v>
      </c>
      <c r="H81" s="55" t="s">
        <v>993</v>
      </c>
      <c r="I81" s="44" t="s">
        <v>1005</v>
      </c>
    </row>
    <row r="82" spans="1:9" x14ac:dyDescent="0.25">
      <c r="A82" s="141">
        <v>112</v>
      </c>
      <c r="B82" s="142" t="s">
        <v>14</v>
      </c>
      <c r="C82" s="142" t="s">
        <v>542</v>
      </c>
      <c r="D82" s="44" t="s">
        <v>868</v>
      </c>
      <c r="E82" s="143" t="s">
        <v>906</v>
      </c>
      <c r="F82" s="54" t="s">
        <v>355</v>
      </c>
      <c r="G82" s="20" t="s">
        <v>924</v>
      </c>
      <c r="H82" s="55" t="s">
        <v>994</v>
      </c>
      <c r="I82" s="44" t="s">
        <v>1006</v>
      </c>
    </row>
    <row r="83" spans="1:9" x14ac:dyDescent="0.25">
      <c r="A83" s="141">
        <v>112</v>
      </c>
      <c r="B83" s="142" t="s">
        <v>14</v>
      </c>
      <c r="C83" s="142" t="s">
        <v>542</v>
      </c>
      <c r="D83" s="44" t="s">
        <v>868</v>
      </c>
      <c r="E83" s="143" t="s">
        <v>907</v>
      </c>
      <c r="F83" s="54" t="s">
        <v>355</v>
      </c>
      <c r="G83" s="20" t="s">
        <v>924</v>
      </c>
      <c r="H83" s="55" t="s">
        <v>995</v>
      </c>
      <c r="I83" s="44" t="s">
        <v>1007</v>
      </c>
    </row>
    <row r="84" spans="1:9" x14ac:dyDescent="0.25">
      <c r="A84" s="141">
        <v>112</v>
      </c>
      <c r="B84" s="142" t="s">
        <v>14</v>
      </c>
      <c r="C84" s="142" t="s">
        <v>542</v>
      </c>
      <c r="D84" s="44" t="s">
        <v>868</v>
      </c>
      <c r="E84" s="143" t="s">
        <v>908</v>
      </c>
      <c r="F84" s="54" t="s">
        <v>355</v>
      </c>
      <c r="G84" s="20" t="s">
        <v>924</v>
      </c>
      <c r="H84" s="55" t="s">
        <v>996</v>
      </c>
      <c r="I84" s="44" t="s">
        <v>1008</v>
      </c>
    </row>
  </sheetData>
  <sheetProtection formatColumns="0" formatRows="0" insertRows="0" sort="0" autoFilter="0"/>
  <mergeCells count="8">
    <mergeCell ref="A1:C1"/>
    <mergeCell ref="A10:E10"/>
    <mergeCell ref="F10:I10"/>
    <mergeCell ref="A6:B6"/>
    <mergeCell ref="A5:B5"/>
    <mergeCell ref="A4:B4"/>
    <mergeCell ref="A3:B3"/>
    <mergeCell ref="A2:B2"/>
  </mergeCells>
  <phoneticPr fontId="5" type="noConversion"/>
  <pageMargins left="0.25" right="0.125" top="0.25" bottom="0.25" header="0" footer="0"/>
  <pageSetup paperSize="3" scale="73" fitToHeight="0" orientation="landscape"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AED0F-6304-4406-8D1F-CA95956C31E2}">
  <sheetPr codeName="Sheet2">
    <pageSetUpPr fitToPage="1"/>
  </sheetPr>
  <dimension ref="A1:H143"/>
  <sheetViews>
    <sheetView topLeftCell="A3" zoomScale="85" zoomScaleNormal="85" workbookViewId="0">
      <selection activeCell="A10" sqref="A10"/>
    </sheetView>
  </sheetViews>
  <sheetFormatPr defaultRowHeight="15" x14ac:dyDescent="0.25"/>
  <cols>
    <col min="1" max="1" width="11.5703125" customWidth="1"/>
    <col min="2" max="2" width="20.7109375" customWidth="1"/>
    <col min="3" max="3" width="37.28515625" customWidth="1"/>
    <col min="4" max="4" width="16.85546875" customWidth="1"/>
    <col min="5" max="5" width="13.85546875" customWidth="1"/>
    <col min="6" max="6" width="14" customWidth="1"/>
    <col min="7" max="7" width="58.28515625" customWidth="1"/>
    <col min="8" max="8" width="71" customWidth="1"/>
    <col min="9" max="9" width="64.28515625" customWidth="1"/>
    <col min="10" max="10" width="82.5703125" customWidth="1"/>
    <col min="11" max="11" width="70" customWidth="1"/>
  </cols>
  <sheetData>
    <row r="1" spans="1:8" ht="15.75" thickBot="1" x14ac:dyDescent="0.3">
      <c r="A1" s="98" t="s">
        <v>344</v>
      </c>
      <c r="B1" s="99"/>
      <c r="C1" s="99"/>
      <c r="D1" s="100"/>
    </row>
    <row r="2" spans="1:8" x14ac:dyDescent="0.25">
      <c r="A2" s="103" t="s">
        <v>345</v>
      </c>
      <c r="B2" s="104"/>
      <c r="C2" s="107">
        <f>Proj_Number</f>
        <v>20570</v>
      </c>
      <c r="D2" s="108"/>
    </row>
    <row r="3" spans="1:8" x14ac:dyDescent="0.25">
      <c r="A3" s="103" t="s">
        <v>346</v>
      </c>
      <c r="B3" s="104"/>
      <c r="C3" s="105" t="str">
        <f>Proj_Customer</f>
        <v>Company</v>
      </c>
      <c r="D3" s="106"/>
    </row>
    <row r="4" spans="1:8" x14ac:dyDescent="0.25">
      <c r="A4" s="103" t="s">
        <v>347</v>
      </c>
      <c r="B4" s="104"/>
      <c r="C4" s="105" t="str">
        <f>Proj_Name</f>
        <v>600HP Face Reversing 4H Rolling Mill</v>
      </c>
      <c r="D4" s="106"/>
    </row>
    <row r="5" spans="1:8" x14ac:dyDescent="0.25">
      <c r="A5" s="103" t="s">
        <v>348</v>
      </c>
      <c r="B5" s="104"/>
      <c r="C5" s="105" t="str">
        <f>Proj_Specifications</f>
        <v>480VAC/60Hz/3P(Δ), 1200 AMP</v>
      </c>
      <c r="D5" s="106"/>
    </row>
    <row r="6" spans="1:8" ht="15.75" thickBot="1" x14ac:dyDescent="0.3">
      <c r="A6" s="101" t="s">
        <v>349</v>
      </c>
      <c r="B6" s="102"/>
      <c r="C6" s="109">
        <f>Last_Synced</f>
        <v>46073.355636574073</v>
      </c>
      <c r="D6" s="110"/>
    </row>
    <row r="8" spans="1:8" ht="15.75" thickBot="1" x14ac:dyDescent="0.3"/>
    <row r="9" spans="1:8" ht="53.25" customHeight="1" thickBot="1" x14ac:dyDescent="0.3">
      <c r="A9" s="81" t="str">
        <f>"Your Company" &amp; CHAR(10) &amp; Proj_Number &amp; " - " &amp; Proj_Customer &amp; " - " &amp; Proj_Name &amp; CHAR(10) &amp; "P&amp;ID Tag List"</f>
        <v>Your Company
20570 - Company - 600HP Face Reversing 4H Rolling Mill
P&amp;ID Tag List</v>
      </c>
      <c r="B9" s="82"/>
      <c r="C9" s="82"/>
      <c r="D9" s="83"/>
      <c r="E9" s="81" t="s">
        <v>395</v>
      </c>
      <c r="F9" s="82"/>
      <c r="G9" s="82"/>
      <c r="H9" s="83"/>
    </row>
    <row r="10" spans="1:8" ht="45" x14ac:dyDescent="0.25">
      <c r="A10" s="1" t="s">
        <v>330</v>
      </c>
      <c r="B10" s="1" t="s">
        <v>0</v>
      </c>
      <c r="C10" s="1" t="s">
        <v>1</v>
      </c>
      <c r="D10" s="1" t="s">
        <v>105</v>
      </c>
      <c r="E10" s="4" t="s">
        <v>337</v>
      </c>
      <c r="F10" s="5" t="s">
        <v>336</v>
      </c>
      <c r="G10" s="5" t="s">
        <v>396</v>
      </c>
      <c r="H10" s="6" t="s">
        <v>3</v>
      </c>
    </row>
    <row r="11" spans="1:8" x14ac:dyDescent="0.25">
      <c r="A11" s="141">
        <v>10</v>
      </c>
      <c r="B11" s="125" t="s">
        <v>716</v>
      </c>
      <c r="C11" s="125" t="s">
        <v>717</v>
      </c>
      <c r="D11" s="144" t="s">
        <v>7</v>
      </c>
      <c r="E11" s="51" t="s">
        <v>1230</v>
      </c>
      <c r="F11" s="62" t="s">
        <v>8</v>
      </c>
      <c r="G11" s="44" t="s">
        <v>1320</v>
      </c>
      <c r="H11" s="57"/>
    </row>
    <row r="12" spans="1:8" x14ac:dyDescent="0.25">
      <c r="A12" s="141">
        <v>10</v>
      </c>
      <c r="B12" s="125" t="s">
        <v>716</v>
      </c>
      <c r="C12" s="125" t="s">
        <v>717</v>
      </c>
      <c r="D12" s="144" t="s">
        <v>9</v>
      </c>
      <c r="E12" s="51" t="s">
        <v>1230</v>
      </c>
      <c r="F12" s="62" t="s">
        <v>10</v>
      </c>
      <c r="G12" s="44" t="s">
        <v>1319</v>
      </c>
      <c r="H12" s="57"/>
    </row>
    <row r="13" spans="1:8" x14ac:dyDescent="0.25">
      <c r="A13" s="141">
        <v>10</v>
      </c>
      <c r="B13" s="125" t="s">
        <v>716</v>
      </c>
      <c r="C13" s="125" t="s">
        <v>717</v>
      </c>
      <c r="D13" s="144" t="s">
        <v>11</v>
      </c>
      <c r="E13" s="51" t="s">
        <v>1230</v>
      </c>
      <c r="F13" s="62" t="s">
        <v>12</v>
      </c>
      <c r="G13" s="44" t="s">
        <v>1318</v>
      </c>
      <c r="H13" s="57"/>
    </row>
    <row r="14" spans="1:8" x14ac:dyDescent="0.25">
      <c r="A14" s="141">
        <v>11</v>
      </c>
      <c r="B14" s="125" t="s">
        <v>945</v>
      </c>
      <c r="C14" s="125" t="s">
        <v>944</v>
      </c>
      <c r="D14" s="144" t="s">
        <v>1108</v>
      </c>
      <c r="E14" s="51" t="s">
        <v>1231</v>
      </c>
      <c r="F14" s="62" t="s">
        <v>1232</v>
      </c>
      <c r="G14" s="44" t="s">
        <v>1295</v>
      </c>
      <c r="H14" s="57"/>
    </row>
    <row r="15" spans="1:8" x14ac:dyDescent="0.25">
      <c r="A15" s="141">
        <v>11</v>
      </c>
      <c r="B15" s="125" t="s">
        <v>945</v>
      </c>
      <c r="C15" s="125" t="s">
        <v>944</v>
      </c>
      <c r="D15" s="144" t="s">
        <v>1110</v>
      </c>
      <c r="E15" s="51" t="s">
        <v>1231</v>
      </c>
      <c r="F15" s="62" t="s">
        <v>1232</v>
      </c>
      <c r="G15" s="44" t="s">
        <v>1298</v>
      </c>
      <c r="H15" s="57"/>
    </row>
    <row r="16" spans="1:8" x14ac:dyDescent="0.25">
      <c r="A16" s="141">
        <v>11</v>
      </c>
      <c r="B16" s="125" t="s">
        <v>945</v>
      </c>
      <c r="C16" s="125" t="s">
        <v>944</v>
      </c>
      <c r="D16" s="144" t="s">
        <v>1109</v>
      </c>
      <c r="E16" s="51" t="s">
        <v>1231</v>
      </c>
      <c r="F16" s="62" t="s">
        <v>150</v>
      </c>
      <c r="G16" s="44" t="s">
        <v>1296</v>
      </c>
      <c r="H16" s="57"/>
    </row>
    <row r="17" spans="1:8" x14ac:dyDescent="0.25">
      <c r="A17" s="141">
        <v>11</v>
      </c>
      <c r="B17" s="125" t="s">
        <v>945</v>
      </c>
      <c r="C17" s="125" t="s">
        <v>944</v>
      </c>
      <c r="D17" s="144" t="s">
        <v>1111</v>
      </c>
      <c r="E17" s="51" t="s">
        <v>1231</v>
      </c>
      <c r="F17" s="62" t="s">
        <v>150</v>
      </c>
      <c r="G17" s="44" t="s">
        <v>1297</v>
      </c>
      <c r="H17" s="57"/>
    </row>
    <row r="18" spans="1:8" x14ac:dyDescent="0.25">
      <c r="A18" s="141">
        <v>11</v>
      </c>
      <c r="B18" s="125" t="s">
        <v>945</v>
      </c>
      <c r="C18" s="125" t="s">
        <v>944</v>
      </c>
      <c r="D18" s="144" t="s">
        <v>1112</v>
      </c>
      <c r="E18" s="51" t="s">
        <v>1230</v>
      </c>
      <c r="F18" s="62" t="s">
        <v>1232</v>
      </c>
      <c r="G18" s="44" t="s">
        <v>1317</v>
      </c>
      <c r="H18" s="57"/>
    </row>
    <row r="19" spans="1:8" x14ac:dyDescent="0.25">
      <c r="A19" s="141">
        <v>11</v>
      </c>
      <c r="B19" s="125" t="s">
        <v>945</v>
      </c>
      <c r="C19" s="125" t="s">
        <v>944</v>
      </c>
      <c r="D19" s="144" t="s">
        <v>1113</v>
      </c>
      <c r="E19" s="51" t="s">
        <v>1230</v>
      </c>
      <c r="F19" s="62" t="s">
        <v>150</v>
      </c>
      <c r="G19" s="44" t="s">
        <v>1314</v>
      </c>
      <c r="H19" s="57"/>
    </row>
    <row r="20" spans="1:8" x14ac:dyDescent="0.25">
      <c r="A20" s="141">
        <v>14</v>
      </c>
      <c r="B20" s="125" t="s">
        <v>36</v>
      </c>
      <c r="C20" s="125" t="s">
        <v>37</v>
      </c>
      <c r="D20" s="144" t="s">
        <v>1174</v>
      </c>
      <c r="E20" s="51" t="s">
        <v>1230</v>
      </c>
      <c r="F20" s="62" t="s">
        <v>1233</v>
      </c>
      <c r="G20" s="44" t="s">
        <v>1348</v>
      </c>
      <c r="H20" s="57"/>
    </row>
    <row r="21" spans="1:8" x14ac:dyDescent="0.25">
      <c r="A21" s="141">
        <v>14</v>
      </c>
      <c r="B21" s="125" t="s">
        <v>36</v>
      </c>
      <c r="C21" s="125" t="s">
        <v>37</v>
      </c>
      <c r="D21" s="144" t="s">
        <v>1175</v>
      </c>
      <c r="E21" s="51" t="s">
        <v>1230</v>
      </c>
      <c r="F21" s="62" t="s">
        <v>1234</v>
      </c>
      <c r="G21" s="44" t="s">
        <v>1349</v>
      </c>
      <c r="H21" s="57"/>
    </row>
    <row r="22" spans="1:8" x14ac:dyDescent="0.25">
      <c r="A22" s="141">
        <v>16</v>
      </c>
      <c r="B22" s="125" t="s">
        <v>5</v>
      </c>
      <c r="C22" s="125" t="s">
        <v>6</v>
      </c>
      <c r="D22" s="144" t="s">
        <v>1097</v>
      </c>
      <c r="E22" s="51" t="s">
        <v>1230</v>
      </c>
      <c r="F22" s="62" t="s">
        <v>4</v>
      </c>
      <c r="G22" s="44" t="s">
        <v>1294</v>
      </c>
      <c r="H22" s="57"/>
    </row>
    <row r="23" spans="1:8" x14ac:dyDescent="0.25">
      <c r="A23" s="141">
        <v>17</v>
      </c>
      <c r="B23" s="125" t="s">
        <v>5</v>
      </c>
      <c r="C23" s="125" t="s">
        <v>79</v>
      </c>
      <c r="D23" s="144" t="s">
        <v>78</v>
      </c>
      <c r="E23" s="51" t="s">
        <v>1230</v>
      </c>
      <c r="F23" s="62" t="s">
        <v>1235</v>
      </c>
      <c r="G23" s="44" t="s">
        <v>1433</v>
      </c>
      <c r="H23" s="57"/>
    </row>
    <row r="24" spans="1:8" x14ac:dyDescent="0.25">
      <c r="A24" s="141">
        <v>17</v>
      </c>
      <c r="B24" s="125" t="s">
        <v>5</v>
      </c>
      <c r="C24" s="125" t="s">
        <v>79</v>
      </c>
      <c r="D24" s="144" t="s">
        <v>80</v>
      </c>
      <c r="E24" s="51" t="s">
        <v>1230</v>
      </c>
      <c r="F24" s="62" t="s">
        <v>1236</v>
      </c>
      <c r="G24" s="44" t="s">
        <v>1434</v>
      </c>
      <c r="H24" s="57"/>
    </row>
    <row r="25" spans="1:8" x14ac:dyDescent="0.25">
      <c r="A25" s="141">
        <v>18</v>
      </c>
      <c r="B25" s="125" t="s">
        <v>5</v>
      </c>
      <c r="C25" s="125" t="s">
        <v>426</v>
      </c>
      <c r="D25" s="144" t="s">
        <v>76</v>
      </c>
      <c r="E25" s="51" t="s">
        <v>1230</v>
      </c>
      <c r="F25" s="62" t="s">
        <v>1237</v>
      </c>
      <c r="G25" s="44" t="s">
        <v>1431</v>
      </c>
      <c r="H25" s="57"/>
    </row>
    <row r="26" spans="1:8" x14ac:dyDescent="0.25">
      <c r="A26" s="141">
        <v>18</v>
      </c>
      <c r="B26" s="125" t="s">
        <v>5</v>
      </c>
      <c r="C26" s="125" t="s">
        <v>426</v>
      </c>
      <c r="D26" s="144" t="s">
        <v>82</v>
      </c>
      <c r="E26" s="51" t="s">
        <v>1230</v>
      </c>
      <c r="F26" s="62" t="s">
        <v>1238</v>
      </c>
      <c r="G26" s="44" t="s">
        <v>1429</v>
      </c>
      <c r="H26" s="57"/>
    </row>
    <row r="27" spans="1:8" x14ac:dyDescent="0.25">
      <c r="A27" s="141">
        <v>19</v>
      </c>
      <c r="B27" s="125" t="s">
        <v>5</v>
      </c>
      <c r="C27" s="125" t="s">
        <v>67</v>
      </c>
      <c r="D27" s="144" t="s">
        <v>66</v>
      </c>
      <c r="E27" s="51" t="s">
        <v>1230</v>
      </c>
      <c r="F27" s="62" t="s">
        <v>1239</v>
      </c>
      <c r="G27" s="44" t="s">
        <v>1406</v>
      </c>
      <c r="H27" s="57"/>
    </row>
    <row r="28" spans="1:8" x14ac:dyDescent="0.25">
      <c r="A28" s="141">
        <v>19</v>
      </c>
      <c r="B28" s="125" t="s">
        <v>5</v>
      </c>
      <c r="C28" s="125" t="s">
        <v>67</v>
      </c>
      <c r="D28" s="144" t="s">
        <v>1176</v>
      </c>
      <c r="E28" s="51" t="s">
        <v>1230</v>
      </c>
      <c r="F28" s="62" t="s">
        <v>1240</v>
      </c>
      <c r="G28" s="44" t="s">
        <v>1404</v>
      </c>
      <c r="H28" s="57"/>
    </row>
    <row r="29" spans="1:8" x14ac:dyDescent="0.25">
      <c r="A29" s="141">
        <v>19</v>
      </c>
      <c r="B29" s="125" t="s">
        <v>5</v>
      </c>
      <c r="C29" s="125" t="s">
        <v>67</v>
      </c>
      <c r="D29" s="144" t="s">
        <v>70</v>
      </c>
      <c r="E29" s="51" t="s">
        <v>1230</v>
      </c>
      <c r="F29" s="62" t="s">
        <v>1241</v>
      </c>
      <c r="G29" s="44" t="s">
        <v>1415</v>
      </c>
      <c r="H29" s="57"/>
    </row>
    <row r="30" spans="1:8" x14ac:dyDescent="0.25">
      <c r="A30" s="141">
        <v>19</v>
      </c>
      <c r="B30" s="125" t="s">
        <v>5</v>
      </c>
      <c r="C30" s="125" t="s">
        <v>67</v>
      </c>
      <c r="D30" s="144" t="s">
        <v>72</v>
      </c>
      <c r="E30" s="51" t="s">
        <v>1230</v>
      </c>
      <c r="F30" s="62" t="s">
        <v>1242</v>
      </c>
      <c r="G30" s="44" t="s">
        <v>1419</v>
      </c>
      <c r="H30" s="57"/>
    </row>
    <row r="31" spans="1:8" x14ac:dyDescent="0.25">
      <c r="A31" s="141">
        <v>19</v>
      </c>
      <c r="B31" s="125" t="s">
        <v>5</v>
      </c>
      <c r="C31" s="125" t="s">
        <v>67</v>
      </c>
      <c r="D31" s="144" t="s">
        <v>1177</v>
      </c>
      <c r="E31" s="51" t="s">
        <v>1230</v>
      </c>
      <c r="F31" s="62" t="s">
        <v>1243</v>
      </c>
      <c r="G31" s="44" t="s">
        <v>1421</v>
      </c>
      <c r="H31" s="57"/>
    </row>
    <row r="32" spans="1:8" x14ac:dyDescent="0.25">
      <c r="A32" s="141">
        <v>19</v>
      </c>
      <c r="B32" s="125" t="s">
        <v>5</v>
      </c>
      <c r="C32" s="125" t="s">
        <v>67</v>
      </c>
      <c r="D32" s="144" t="s">
        <v>75</v>
      </c>
      <c r="E32" s="51" t="s">
        <v>1230</v>
      </c>
      <c r="F32" s="62" t="s">
        <v>1244</v>
      </c>
      <c r="G32" s="44" t="s">
        <v>1428</v>
      </c>
      <c r="H32" s="57"/>
    </row>
    <row r="33" spans="1:8" x14ac:dyDescent="0.25">
      <c r="A33" s="141">
        <v>20</v>
      </c>
      <c r="B33" s="125" t="s">
        <v>5</v>
      </c>
      <c r="C33" s="125" t="s">
        <v>19</v>
      </c>
      <c r="D33" s="144" t="s">
        <v>18</v>
      </c>
      <c r="E33" s="51" t="s">
        <v>1230</v>
      </c>
      <c r="F33" s="62" t="s">
        <v>1245</v>
      </c>
      <c r="G33" s="44" t="s">
        <v>1309</v>
      </c>
      <c r="H33" s="57"/>
    </row>
    <row r="34" spans="1:8" x14ac:dyDescent="0.25">
      <c r="A34" s="141">
        <v>20</v>
      </c>
      <c r="B34" s="125" t="s">
        <v>5</v>
      </c>
      <c r="C34" s="125" t="s">
        <v>19</v>
      </c>
      <c r="D34" s="144" t="s">
        <v>20</v>
      </c>
      <c r="E34" s="51" t="s">
        <v>1230</v>
      </c>
      <c r="F34" s="62" t="s">
        <v>1246</v>
      </c>
      <c r="G34" s="44" t="s">
        <v>1308</v>
      </c>
      <c r="H34" s="57"/>
    </row>
    <row r="35" spans="1:8" x14ac:dyDescent="0.25">
      <c r="A35" s="141">
        <v>22</v>
      </c>
      <c r="B35" s="125" t="s">
        <v>5</v>
      </c>
      <c r="C35" s="125" t="s">
        <v>21</v>
      </c>
      <c r="D35" s="144" t="s">
        <v>1122</v>
      </c>
      <c r="E35" s="51" t="s">
        <v>1230</v>
      </c>
      <c r="F35" s="62" t="s">
        <v>1136</v>
      </c>
      <c r="G35" s="44" t="s">
        <v>1330</v>
      </c>
      <c r="H35" s="57"/>
    </row>
    <row r="36" spans="1:8" x14ac:dyDescent="0.25">
      <c r="A36" s="141">
        <v>23</v>
      </c>
      <c r="B36" s="125" t="s">
        <v>5</v>
      </c>
      <c r="C36" s="125" t="s">
        <v>31</v>
      </c>
      <c r="D36" s="144" t="s">
        <v>206</v>
      </c>
      <c r="E36" s="51" t="s">
        <v>1230</v>
      </c>
      <c r="F36" s="62" t="s">
        <v>1336</v>
      </c>
      <c r="G36" s="44" t="s">
        <v>1342</v>
      </c>
      <c r="H36" s="57"/>
    </row>
    <row r="37" spans="1:8" x14ac:dyDescent="0.25">
      <c r="A37" s="141">
        <v>23</v>
      </c>
      <c r="B37" s="125" t="s">
        <v>5</v>
      </c>
      <c r="C37" s="125" t="s">
        <v>31</v>
      </c>
      <c r="D37" s="144" t="s">
        <v>207</v>
      </c>
      <c r="E37" s="51" t="s">
        <v>1230</v>
      </c>
      <c r="F37" s="62" t="s">
        <v>1331</v>
      </c>
      <c r="G37" s="44" t="s">
        <v>1343</v>
      </c>
      <c r="H37" s="57"/>
    </row>
    <row r="38" spans="1:8" x14ac:dyDescent="0.25">
      <c r="A38" s="141">
        <v>23</v>
      </c>
      <c r="B38" s="125" t="s">
        <v>5</v>
      </c>
      <c r="C38" s="125" t="s">
        <v>31</v>
      </c>
      <c r="D38" s="144" t="s">
        <v>208</v>
      </c>
      <c r="E38" s="51" t="s">
        <v>1230</v>
      </c>
      <c r="F38" s="62" t="s">
        <v>1332</v>
      </c>
      <c r="G38" s="44" t="s">
        <v>1344</v>
      </c>
      <c r="H38" s="57"/>
    </row>
    <row r="39" spans="1:8" x14ac:dyDescent="0.25">
      <c r="A39" s="141">
        <v>23</v>
      </c>
      <c r="B39" s="125" t="s">
        <v>5</v>
      </c>
      <c r="C39" s="125" t="s">
        <v>31</v>
      </c>
      <c r="D39" s="144" t="s">
        <v>1178</v>
      </c>
      <c r="E39" s="51" t="s">
        <v>1230</v>
      </c>
      <c r="F39" s="62" t="s">
        <v>1250</v>
      </c>
      <c r="G39" s="44" t="s">
        <v>1352</v>
      </c>
      <c r="H39" s="57"/>
    </row>
    <row r="40" spans="1:8" x14ac:dyDescent="0.25">
      <c r="A40" s="141">
        <v>23</v>
      </c>
      <c r="B40" s="125" t="s">
        <v>5</v>
      </c>
      <c r="C40" s="125" t="s">
        <v>31</v>
      </c>
      <c r="D40" s="144" t="s">
        <v>209</v>
      </c>
      <c r="E40" s="51" t="s">
        <v>1230</v>
      </c>
      <c r="F40" s="62" t="s">
        <v>1333</v>
      </c>
      <c r="G40" s="44" t="s">
        <v>1381</v>
      </c>
      <c r="H40" s="57"/>
    </row>
    <row r="41" spans="1:8" x14ac:dyDescent="0.25">
      <c r="A41" s="141">
        <v>23</v>
      </c>
      <c r="B41" s="125" t="s">
        <v>5</v>
      </c>
      <c r="C41" s="125" t="s">
        <v>31</v>
      </c>
      <c r="D41" s="144" t="s">
        <v>258</v>
      </c>
      <c r="E41" s="51" t="s">
        <v>1230</v>
      </c>
      <c r="F41" s="62" t="s">
        <v>1334</v>
      </c>
      <c r="G41" s="44" t="s">
        <v>1382</v>
      </c>
      <c r="H41" s="57"/>
    </row>
    <row r="42" spans="1:8" x14ac:dyDescent="0.25">
      <c r="A42" s="141">
        <v>23</v>
      </c>
      <c r="B42" s="125" t="s">
        <v>5</v>
      </c>
      <c r="C42" s="125" t="s">
        <v>31</v>
      </c>
      <c r="D42" s="144" t="s">
        <v>259</v>
      </c>
      <c r="E42" s="51" t="s">
        <v>1230</v>
      </c>
      <c r="F42" s="62" t="s">
        <v>1335</v>
      </c>
      <c r="G42" s="44" t="s">
        <v>1383</v>
      </c>
      <c r="H42" s="57"/>
    </row>
    <row r="43" spans="1:8" x14ac:dyDescent="0.25">
      <c r="A43" s="141">
        <v>23</v>
      </c>
      <c r="B43" s="125" t="s">
        <v>5</v>
      </c>
      <c r="C43" s="125" t="s">
        <v>31</v>
      </c>
      <c r="D43" s="144" t="s">
        <v>1179</v>
      </c>
      <c r="E43" s="51" t="s">
        <v>1230</v>
      </c>
      <c r="F43" s="62" t="s">
        <v>1254</v>
      </c>
      <c r="G43" s="44" t="s">
        <v>1388</v>
      </c>
      <c r="H43" s="57"/>
    </row>
    <row r="44" spans="1:8" x14ac:dyDescent="0.25">
      <c r="A44" s="141">
        <v>23</v>
      </c>
      <c r="B44" s="125" t="s">
        <v>5</v>
      </c>
      <c r="C44" s="125" t="s">
        <v>31</v>
      </c>
      <c r="D44" s="144" t="s">
        <v>1180</v>
      </c>
      <c r="E44" s="51" t="s">
        <v>1230</v>
      </c>
      <c r="F44" s="62" t="s">
        <v>1255</v>
      </c>
      <c r="G44" s="44" t="s">
        <v>1430</v>
      </c>
      <c r="H44" s="57"/>
    </row>
    <row r="45" spans="1:8" x14ac:dyDescent="0.25">
      <c r="A45" s="141">
        <v>23</v>
      </c>
      <c r="B45" s="125" t="s">
        <v>5</v>
      </c>
      <c r="C45" s="125" t="s">
        <v>31</v>
      </c>
      <c r="D45" s="144" t="s">
        <v>1181</v>
      </c>
      <c r="E45" s="51" t="s">
        <v>1230</v>
      </c>
      <c r="F45" s="62" t="s">
        <v>1256</v>
      </c>
      <c r="G45" s="44" t="s">
        <v>1432</v>
      </c>
      <c r="H45" s="57"/>
    </row>
    <row r="46" spans="1:8" x14ac:dyDescent="0.25">
      <c r="A46" s="141">
        <v>24</v>
      </c>
      <c r="B46" s="125" t="s">
        <v>5</v>
      </c>
      <c r="C46" s="125" t="s">
        <v>22</v>
      </c>
      <c r="D46" s="144" t="s">
        <v>1127</v>
      </c>
      <c r="E46" s="51" t="s">
        <v>1230</v>
      </c>
      <c r="F46" s="62" t="s">
        <v>1257</v>
      </c>
      <c r="G46" s="44" t="s">
        <v>1303</v>
      </c>
      <c r="H46" s="57"/>
    </row>
    <row r="47" spans="1:8" x14ac:dyDescent="0.25">
      <c r="A47" s="141">
        <v>24</v>
      </c>
      <c r="B47" s="125" t="s">
        <v>5</v>
      </c>
      <c r="C47" s="125" t="s">
        <v>22</v>
      </c>
      <c r="D47" s="144" t="s">
        <v>1128</v>
      </c>
      <c r="E47" s="51" t="s">
        <v>1230</v>
      </c>
      <c r="F47" s="62" t="s">
        <v>1249</v>
      </c>
      <c r="G47" s="44" t="s">
        <v>1338</v>
      </c>
      <c r="H47" s="57"/>
    </row>
    <row r="48" spans="1:8" x14ac:dyDescent="0.25">
      <c r="A48" s="141">
        <v>24</v>
      </c>
      <c r="B48" s="125" t="s">
        <v>5</v>
      </c>
      <c r="C48" s="125" t="s">
        <v>22</v>
      </c>
      <c r="D48" s="144" t="s">
        <v>1129</v>
      </c>
      <c r="E48" s="51" t="s">
        <v>1230</v>
      </c>
      <c r="F48" s="62" t="s">
        <v>1258</v>
      </c>
      <c r="G48" s="44" t="s">
        <v>1350</v>
      </c>
      <c r="H48" s="57"/>
    </row>
    <row r="49" spans="1:8" x14ac:dyDescent="0.25">
      <c r="A49" s="141">
        <v>24</v>
      </c>
      <c r="B49" s="125" t="s">
        <v>5</v>
      </c>
      <c r="C49" s="125" t="s">
        <v>22</v>
      </c>
      <c r="D49" s="144" t="s">
        <v>1130</v>
      </c>
      <c r="E49" s="51" t="s">
        <v>1230</v>
      </c>
      <c r="F49" s="62" t="s">
        <v>1259</v>
      </c>
      <c r="G49" s="44" t="s">
        <v>1351</v>
      </c>
      <c r="H49" s="57"/>
    </row>
    <row r="50" spans="1:8" x14ac:dyDescent="0.25">
      <c r="A50" s="141">
        <v>24</v>
      </c>
      <c r="B50" s="125" t="s">
        <v>5</v>
      </c>
      <c r="C50" s="125" t="s">
        <v>22</v>
      </c>
      <c r="D50" s="144" t="s">
        <v>1131</v>
      </c>
      <c r="E50" s="51" t="s">
        <v>1230</v>
      </c>
      <c r="F50" s="62" t="s">
        <v>1253</v>
      </c>
      <c r="G50" s="44" t="s">
        <v>1378</v>
      </c>
      <c r="H50" s="57"/>
    </row>
    <row r="51" spans="1:8" x14ac:dyDescent="0.25">
      <c r="A51" s="141">
        <v>24</v>
      </c>
      <c r="B51" s="125" t="s">
        <v>5</v>
      </c>
      <c r="C51" s="125" t="s">
        <v>22</v>
      </c>
      <c r="D51" s="144" t="s">
        <v>1132</v>
      </c>
      <c r="E51" s="51" t="s">
        <v>1230</v>
      </c>
      <c r="F51" s="62" t="s">
        <v>1260</v>
      </c>
      <c r="G51" s="44" t="s">
        <v>1385</v>
      </c>
      <c r="H51" s="57"/>
    </row>
    <row r="52" spans="1:8" x14ac:dyDescent="0.25">
      <c r="A52" s="141">
        <v>24</v>
      </c>
      <c r="B52" s="125" t="s">
        <v>5</v>
      </c>
      <c r="C52" s="125" t="s">
        <v>22</v>
      </c>
      <c r="D52" s="144" t="s">
        <v>1133</v>
      </c>
      <c r="E52" s="51" t="s">
        <v>1230</v>
      </c>
      <c r="F52" s="62" t="s">
        <v>1261</v>
      </c>
      <c r="G52" s="44" t="s">
        <v>1386</v>
      </c>
      <c r="H52" s="57"/>
    </row>
    <row r="53" spans="1:8" x14ac:dyDescent="0.25">
      <c r="A53" s="141">
        <v>41</v>
      </c>
      <c r="B53" s="125" t="s">
        <v>41</v>
      </c>
      <c r="C53" s="125" t="s">
        <v>451</v>
      </c>
      <c r="D53" s="144" t="s">
        <v>1182</v>
      </c>
      <c r="E53" s="51" t="s">
        <v>1230</v>
      </c>
      <c r="F53" s="62" t="s">
        <v>1250</v>
      </c>
      <c r="G53" s="44" t="s">
        <v>1353</v>
      </c>
      <c r="H53" s="57"/>
    </row>
    <row r="54" spans="1:8" x14ac:dyDescent="0.25">
      <c r="A54" s="141">
        <v>41</v>
      </c>
      <c r="B54" s="125" t="s">
        <v>41</v>
      </c>
      <c r="C54" s="125" t="s">
        <v>451</v>
      </c>
      <c r="D54" s="144" t="s">
        <v>1183</v>
      </c>
      <c r="E54" s="51" t="s">
        <v>1230</v>
      </c>
      <c r="F54" s="62" t="s">
        <v>1254</v>
      </c>
      <c r="G54" s="44" t="s">
        <v>1387</v>
      </c>
      <c r="H54" s="57"/>
    </row>
    <row r="55" spans="1:8" x14ac:dyDescent="0.25">
      <c r="A55" s="141">
        <v>57</v>
      </c>
      <c r="B55" s="125" t="s">
        <v>14</v>
      </c>
      <c r="C55" s="125" t="s">
        <v>87</v>
      </c>
      <c r="D55" s="145" t="s">
        <v>1134</v>
      </c>
      <c r="E55" s="51" t="s">
        <v>1230</v>
      </c>
      <c r="F55" s="62" t="s">
        <v>1232</v>
      </c>
      <c r="G55" s="44" t="s">
        <v>1316</v>
      </c>
      <c r="H55" s="57" t="s">
        <v>1119</v>
      </c>
    </row>
    <row r="56" spans="1:8" x14ac:dyDescent="0.25">
      <c r="A56" s="141">
        <v>57</v>
      </c>
      <c r="B56" s="125" t="s">
        <v>14</v>
      </c>
      <c r="C56" s="125" t="s">
        <v>87</v>
      </c>
      <c r="D56" s="145" t="s">
        <v>1135</v>
      </c>
      <c r="E56" s="51" t="s">
        <v>1230</v>
      </c>
      <c r="F56" s="62" t="s">
        <v>150</v>
      </c>
      <c r="G56" s="44" t="s">
        <v>1313</v>
      </c>
      <c r="H56" s="57" t="s">
        <v>1119</v>
      </c>
    </row>
    <row r="57" spans="1:8" x14ac:dyDescent="0.25">
      <c r="A57" s="141">
        <v>83</v>
      </c>
      <c r="B57" s="125" t="s">
        <v>14</v>
      </c>
      <c r="C57" s="125" t="s">
        <v>15</v>
      </c>
      <c r="D57" s="144" t="s">
        <v>13</v>
      </c>
      <c r="E57" s="51" t="s">
        <v>1230</v>
      </c>
      <c r="F57" s="62" t="s">
        <v>1232</v>
      </c>
      <c r="G57" s="44" t="s">
        <v>1315</v>
      </c>
      <c r="H57" s="57"/>
    </row>
    <row r="58" spans="1:8" x14ac:dyDescent="0.25">
      <c r="A58" s="141">
        <v>83</v>
      </c>
      <c r="B58" s="125" t="s">
        <v>14</v>
      </c>
      <c r="C58" s="125" t="s">
        <v>15</v>
      </c>
      <c r="D58" s="144" t="s">
        <v>161</v>
      </c>
      <c r="E58" s="51" t="s">
        <v>1230</v>
      </c>
      <c r="F58" s="62" t="s">
        <v>150</v>
      </c>
      <c r="G58" s="44" t="s">
        <v>1312</v>
      </c>
      <c r="H58" s="57"/>
    </row>
    <row r="59" spans="1:8" x14ac:dyDescent="0.25">
      <c r="A59" s="141">
        <v>104</v>
      </c>
      <c r="B59" s="125" t="s">
        <v>14</v>
      </c>
      <c r="C59" s="125" t="s">
        <v>17</v>
      </c>
      <c r="D59" s="144" t="s">
        <v>1099</v>
      </c>
      <c r="E59" s="51" t="s">
        <v>1230</v>
      </c>
      <c r="F59" s="62" t="s">
        <v>1262</v>
      </c>
      <c r="G59" s="44" t="s">
        <v>1435</v>
      </c>
      <c r="H59" s="57"/>
    </row>
    <row r="60" spans="1:8" x14ac:dyDescent="0.25">
      <c r="A60" s="141">
        <v>139</v>
      </c>
      <c r="B60" s="125" t="s">
        <v>89</v>
      </c>
      <c r="C60" s="125" t="s">
        <v>90</v>
      </c>
      <c r="D60" s="144" t="s">
        <v>1165</v>
      </c>
      <c r="E60" s="51" t="s">
        <v>1231</v>
      </c>
      <c r="F60" s="62" t="s">
        <v>1263</v>
      </c>
      <c r="G60" s="44" t="s">
        <v>1299</v>
      </c>
      <c r="H60" s="57"/>
    </row>
    <row r="61" spans="1:8" x14ac:dyDescent="0.25">
      <c r="A61" s="141">
        <v>139</v>
      </c>
      <c r="B61" s="125" t="s">
        <v>89</v>
      </c>
      <c r="C61" s="125" t="s">
        <v>90</v>
      </c>
      <c r="D61" s="144" t="s">
        <v>1184</v>
      </c>
      <c r="E61" s="51" t="s">
        <v>1231</v>
      </c>
      <c r="F61" s="62" t="s">
        <v>1263</v>
      </c>
      <c r="G61" s="44" t="s">
        <v>1310</v>
      </c>
      <c r="H61" s="57"/>
    </row>
    <row r="62" spans="1:8" x14ac:dyDescent="0.25">
      <c r="A62" s="141">
        <v>139</v>
      </c>
      <c r="B62" s="125" t="s">
        <v>89</v>
      </c>
      <c r="C62" s="125" t="s">
        <v>90</v>
      </c>
      <c r="D62" s="144" t="s">
        <v>88</v>
      </c>
      <c r="E62" s="51" t="s">
        <v>1230</v>
      </c>
      <c r="F62" s="62" t="s">
        <v>1263</v>
      </c>
      <c r="G62" s="44" t="s">
        <v>1311</v>
      </c>
      <c r="H62" s="57"/>
    </row>
    <row r="63" spans="1:8" x14ac:dyDescent="0.25">
      <c r="A63" s="141">
        <v>140</v>
      </c>
      <c r="B63" s="125" t="s">
        <v>39</v>
      </c>
      <c r="C63" s="125" t="s">
        <v>40</v>
      </c>
      <c r="D63" s="144" t="s">
        <v>38</v>
      </c>
      <c r="E63" s="51" t="s">
        <v>1230</v>
      </c>
      <c r="F63" s="62" t="s">
        <v>1233</v>
      </c>
      <c r="G63" s="44" t="s">
        <v>1347</v>
      </c>
      <c r="H63" s="57"/>
    </row>
    <row r="64" spans="1:8" x14ac:dyDescent="0.25">
      <c r="A64" s="141">
        <v>140</v>
      </c>
      <c r="B64" s="125" t="s">
        <v>39</v>
      </c>
      <c r="C64" s="125" t="s">
        <v>40</v>
      </c>
      <c r="D64" s="144" t="s">
        <v>55</v>
      </c>
      <c r="E64" s="51" t="s">
        <v>1230</v>
      </c>
      <c r="F64" s="62" t="s">
        <v>1234</v>
      </c>
      <c r="G64" s="44" t="s">
        <v>1384</v>
      </c>
      <c r="H64" s="57"/>
    </row>
    <row r="65" spans="1:8" x14ac:dyDescent="0.25">
      <c r="A65" s="141">
        <v>141</v>
      </c>
      <c r="B65" s="125" t="s">
        <v>93</v>
      </c>
      <c r="C65" s="125" t="s">
        <v>100</v>
      </c>
      <c r="D65" s="144" t="s">
        <v>1185</v>
      </c>
      <c r="E65" s="51" t="s">
        <v>1231</v>
      </c>
      <c r="F65" s="62" t="s">
        <v>1247</v>
      </c>
      <c r="G65" s="44" t="s">
        <v>1323</v>
      </c>
      <c r="H65" s="57"/>
    </row>
    <row r="66" spans="1:8" x14ac:dyDescent="0.25">
      <c r="A66" s="141">
        <v>141</v>
      </c>
      <c r="B66" s="125" t="s">
        <v>93</v>
      </c>
      <c r="C66" s="125" t="s">
        <v>100</v>
      </c>
      <c r="D66" s="144" t="s">
        <v>1186</v>
      </c>
      <c r="E66" s="51" t="s">
        <v>1231</v>
      </c>
      <c r="F66" s="62" t="s">
        <v>1251</v>
      </c>
      <c r="G66" s="44" t="s">
        <v>1370</v>
      </c>
      <c r="H66" s="57"/>
    </row>
    <row r="67" spans="1:8" x14ac:dyDescent="0.25">
      <c r="A67" s="141">
        <v>142</v>
      </c>
      <c r="B67" s="125" t="s">
        <v>93</v>
      </c>
      <c r="C67" s="125" t="s">
        <v>94</v>
      </c>
      <c r="D67" s="144" t="s">
        <v>1142</v>
      </c>
      <c r="E67" s="51" t="s">
        <v>1231</v>
      </c>
      <c r="F67" s="62" t="s">
        <v>1136</v>
      </c>
      <c r="G67" s="44" t="s">
        <v>1307</v>
      </c>
      <c r="H67" s="57"/>
    </row>
    <row r="68" spans="1:8" x14ac:dyDescent="0.25">
      <c r="A68" s="141">
        <v>143</v>
      </c>
      <c r="B68" s="125" t="s">
        <v>91</v>
      </c>
      <c r="C68" s="125" t="s">
        <v>92</v>
      </c>
      <c r="D68" s="144" t="s">
        <v>1187</v>
      </c>
      <c r="E68" s="51" t="s">
        <v>1231</v>
      </c>
      <c r="F68" s="62" t="s">
        <v>1136</v>
      </c>
      <c r="G68" s="44" t="s">
        <v>1306</v>
      </c>
      <c r="H68" s="57"/>
    </row>
    <row r="69" spans="1:8" x14ac:dyDescent="0.25">
      <c r="A69" s="141">
        <v>143</v>
      </c>
      <c r="B69" s="125" t="s">
        <v>91</v>
      </c>
      <c r="C69" s="125" t="s">
        <v>92</v>
      </c>
      <c r="D69" s="144" t="s">
        <v>1188</v>
      </c>
      <c r="E69" s="51" t="s">
        <v>1231</v>
      </c>
      <c r="F69" s="62" t="s">
        <v>1257</v>
      </c>
      <c r="G69" s="44" t="s">
        <v>1302</v>
      </c>
      <c r="H69" s="57"/>
    </row>
    <row r="70" spans="1:8" x14ac:dyDescent="0.25">
      <c r="A70" s="141">
        <v>143</v>
      </c>
      <c r="B70" s="125" t="s">
        <v>91</v>
      </c>
      <c r="C70" s="125" t="s">
        <v>92</v>
      </c>
      <c r="D70" s="144" t="s">
        <v>1189</v>
      </c>
      <c r="E70" s="51" t="s">
        <v>1231</v>
      </c>
      <c r="F70" s="62" t="s">
        <v>1264</v>
      </c>
      <c r="G70" s="44" t="s">
        <v>1300</v>
      </c>
      <c r="H70" s="57"/>
    </row>
    <row r="71" spans="1:8" x14ac:dyDescent="0.25">
      <c r="A71" s="141">
        <v>144</v>
      </c>
      <c r="B71" s="125" t="s">
        <v>29</v>
      </c>
      <c r="C71" s="125" t="s">
        <v>103</v>
      </c>
      <c r="D71" s="144" t="s">
        <v>1190</v>
      </c>
      <c r="E71" s="51" t="s">
        <v>1231</v>
      </c>
      <c r="F71" s="62" t="s">
        <v>1247</v>
      </c>
      <c r="G71" s="44" t="s">
        <v>1374</v>
      </c>
      <c r="H71" s="57"/>
    </row>
    <row r="72" spans="1:8" x14ac:dyDescent="0.25">
      <c r="A72" s="141">
        <v>144</v>
      </c>
      <c r="B72" s="125" t="s">
        <v>29</v>
      </c>
      <c r="C72" s="125" t="s">
        <v>103</v>
      </c>
      <c r="D72" s="144" t="s">
        <v>1191</v>
      </c>
      <c r="E72" s="51" t="s">
        <v>1231</v>
      </c>
      <c r="F72" s="62" t="s">
        <v>1251</v>
      </c>
      <c r="G72" s="44" t="s">
        <v>1373</v>
      </c>
      <c r="H72" s="57"/>
    </row>
    <row r="73" spans="1:8" x14ac:dyDescent="0.25">
      <c r="A73" s="141">
        <v>144</v>
      </c>
      <c r="B73" s="125" t="s">
        <v>29</v>
      </c>
      <c r="C73" s="125" t="s">
        <v>103</v>
      </c>
      <c r="D73" s="144" t="s">
        <v>1139</v>
      </c>
      <c r="E73" s="51" t="s">
        <v>1230</v>
      </c>
      <c r="F73" s="62" t="s">
        <v>1247</v>
      </c>
      <c r="G73" s="44" t="s">
        <v>1322</v>
      </c>
      <c r="H73" s="57"/>
    </row>
    <row r="74" spans="1:8" x14ac:dyDescent="0.25">
      <c r="A74" s="141">
        <v>144</v>
      </c>
      <c r="B74" s="125" t="s">
        <v>29</v>
      </c>
      <c r="C74" s="125" t="s">
        <v>103</v>
      </c>
      <c r="D74" s="144" t="s">
        <v>32</v>
      </c>
      <c r="E74" s="51" t="s">
        <v>1230</v>
      </c>
      <c r="F74" s="62" t="s">
        <v>1248</v>
      </c>
      <c r="G74" s="44" t="s">
        <v>1346</v>
      </c>
      <c r="H74" s="57"/>
    </row>
    <row r="75" spans="1:8" x14ac:dyDescent="0.25">
      <c r="A75" s="141">
        <v>144</v>
      </c>
      <c r="B75" s="125" t="s">
        <v>29</v>
      </c>
      <c r="C75" s="125" t="s">
        <v>103</v>
      </c>
      <c r="D75" s="144" t="s">
        <v>1192</v>
      </c>
      <c r="E75" s="51" t="s">
        <v>1230</v>
      </c>
      <c r="F75" s="62" t="s">
        <v>1251</v>
      </c>
      <c r="G75" s="44" t="s">
        <v>1362</v>
      </c>
      <c r="H75" s="57"/>
    </row>
    <row r="76" spans="1:8" x14ac:dyDescent="0.25">
      <c r="A76" s="141">
        <v>144</v>
      </c>
      <c r="B76" s="125" t="s">
        <v>29</v>
      </c>
      <c r="C76" s="125" t="s">
        <v>103</v>
      </c>
      <c r="D76" s="144" t="s">
        <v>52</v>
      </c>
      <c r="E76" s="51" t="s">
        <v>1230</v>
      </c>
      <c r="F76" s="62" t="s">
        <v>1252</v>
      </c>
      <c r="G76" s="44" t="s">
        <v>1372</v>
      </c>
      <c r="H76" s="57"/>
    </row>
    <row r="77" spans="1:8" x14ac:dyDescent="0.25">
      <c r="A77" s="141">
        <v>145</v>
      </c>
      <c r="B77" s="125" t="s">
        <v>29</v>
      </c>
      <c r="C77" s="125" t="s">
        <v>95</v>
      </c>
      <c r="D77" s="144" t="s">
        <v>1143</v>
      </c>
      <c r="E77" s="51" t="s">
        <v>1231</v>
      </c>
      <c r="F77" s="62" t="s">
        <v>1136</v>
      </c>
      <c r="G77" s="44" t="s">
        <v>1305</v>
      </c>
      <c r="H77" s="57"/>
    </row>
    <row r="78" spans="1:8" x14ac:dyDescent="0.25">
      <c r="A78" s="141">
        <v>156</v>
      </c>
      <c r="B78" s="125" t="s">
        <v>24</v>
      </c>
      <c r="C78" s="125" t="s">
        <v>25</v>
      </c>
      <c r="D78" s="144" t="s">
        <v>23</v>
      </c>
      <c r="E78" s="51" t="s">
        <v>1230</v>
      </c>
      <c r="F78" s="62" t="s">
        <v>1264</v>
      </c>
      <c r="G78" s="44" t="s">
        <v>1301</v>
      </c>
      <c r="H78" s="57"/>
    </row>
    <row r="79" spans="1:8" x14ac:dyDescent="0.25">
      <c r="A79" s="141">
        <v>157</v>
      </c>
      <c r="B79" s="125" t="s">
        <v>24</v>
      </c>
      <c r="C79" s="125" t="s">
        <v>34</v>
      </c>
      <c r="D79" s="144" t="s">
        <v>33</v>
      </c>
      <c r="E79" s="51" t="s">
        <v>1230</v>
      </c>
      <c r="F79" s="62" t="s">
        <v>1265</v>
      </c>
      <c r="G79" s="44" t="s">
        <v>1339</v>
      </c>
      <c r="H79" s="57"/>
    </row>
    <row r="80" spans="1:8" x14ac:dyDescent="0.25">
      <c r="A80" s="141">
        <v>157</v>
      </c>
      <c r="B80" s="125" t="s">
        <v>24</v>
      </c>
      <c r="C80" s="125" t="s">
        <v>34</v>
      </c>
      <c r="D80" s="144" t="s">
        <v>53</v>
      </c>
      <c r="E80" s="51" t="s">
        <v>1230</v>
      </c>
      <c r="F80" s="62" t="s">
        <v>1266</v>
      </c>
      <c r="G80" s="44" t="s">
        <v>1379</v>
      </c>
      <c r="H80" s="57"/>
    </row>
    <row r="81" spans="1:8" x14ac:dyDescent="0.25">
      <c r="A81" s="141">
        <v>158</v>
      </c>
      <c r="B81" s="125" t="s">
        <v>24</v>
      </c>
      <c r="C81" s="125" t="s">
        <v>50</v>
      </c>
      <c r="D81" s="144" t="s">
        <v>49</v>
      </c>
      <c r="E81" s="51" t="s">
        <v>1230</v>
      </c>
      <c r="F81" s="62" t="s">
        <v>1267</v>
      </c>
      <c r="G81" s="44" t="s">
        <v>1360</v>
      </c>
      <c r="H81" s="57"/>
    </row>
    <row r="82" spans="1:8" x14ac:dyDescent="0.25">
      <c r="A82" s="141">
        <v>158</v>
      </c>
      <c r="B82" s="125" t="s">
        <v>24</v>
      </c>
      <c r="C82" s="125" t="s">
        <v>50</v>
      </c>
      <c r="D82" s="144" t="s">
        <v>51</v>
      </c>
      <c r="E82" s="51" t="s">
        <v>1230</v>
      </c>
      <c r="F82" s="62" t="s">
        <v>1268</v>
      </c>
      <c r="G82" s="44" t="s">
        <v>1361</v>
      </c>
      <c r="H82" s="57"/>
    </row>
    <row r="83" spans="1:8" x14ac:dyDescent="0.25">
      <c r="A83" s="141">
        <v>158</v>
      </c>
      <c r="B83" s="125" t="s">
        <v>24</v>
      </c>
      <c r="C83" s="125" t="s">
        <v>50</v>
      </c>
      <c r="D83" s="144" t="s">
        <v>61</v>
      </c>
      <c r="E83" s="51" t="s">
        <v>1230</v>
      </c>
      <c r="F83" s="62" t="s">
        <v>1269</v>
      </c>
      <c r="G83" s="44" t="s">
        <v>1394</v>
      </c>
      <c r="H83" s="57"/>
    </row>
    <row r="84" spans="1:8" x14ac:dyDescent="0.25">
      <c r="A84" s="141">
        <v>158</v>
      </c>
      <c r="B84" s="125" t="s">
        <v>24</v>
      </c>
      <c r="C84" s="125" t="s">
        <v>50</v>
      </c>
      <c r="D84" s="144" t="s">
        <v>62</v>
      </c>
      <c r="E84" s="51" t="s">
        <v>1230</v>
      </c>
      <c r="F84" s="62" t="s">
        <v>1270</v>
      </c>
      <c r="G84" s="44" t="s">
        <v>1395</v>
      </c>
      <c r="H84" s="57"/>
    </row>
    <row r="85" spans="1:8" x14ac:dyDescent="0.25">
      <c r="A85" s="141">
        <v>159</v>
      </c>
      <c r="B85" s="125" t="s">
        <v>29</v>
      </c>
      <c r="C85" s="125" t="s">
        <v>620</v>
      </c>
      <c r="D85" s="144" t="s">
        <v>47</v>
      </c>
      <c r="E85" s="51" t="s">
        <v>1230</v>
      </c>
      <c r="F85" s="62" t="s">
        <v>1271</v>
      </c>
      <c r="G85" s="44" t="s">
        <v>1358</v>
      </c>
      <c r="H85" s="57"/>
    </row>
    <row r="86" spans="1:8" x14ac:dyDescent="0.25">
      <c r="A86" s="141">
        <v>159</v>
      </c>
      <c r="B86" s="125" t="s">
        <v>29</v>
      </c>
      <c r="C86" s="125" t="s">
        <v>620</v>
      </c>
      <c r="D86" s="144" t="s">
        <v>48</v>
      </c>
      <c r="E86" s="51" t="s">
        <v>1230</v>
      </c>
      <c r="F86" s="62" t="s">
        <v>1272</v>
      </c>
      <c r="G86" s="44" t="s">
        <v>1359</v>
      </c>
      <c r="H86" s="57"/>
    </row>
    <row r="87" spans="1:8" x14ac:dyDescent="0.25">
      <c r="A87" s="141">
        <v>159</v>
      </c>
      <c r="B87" s="125" t="s">
        <v>29</v>
      </c>
      <c r="C87" s="125" t="s">
        <v>620</v>
      </c>
      <c r="D87" s="144" t="s">
        <v>59</v>
      </c>
      <c r="E87" s="51" t="s">
        <v>1230</v>
      </c>
      <c r="F87" s="62" t="s">
        <v>1273</v>
      </c>
      <c r="G87" s="44" t="s">
        <v>1392</v>
      </c>
      <c r="H87" s="57"/>
    </row>
    <row r="88" spans="1:8" x14ac:dyDescent="0.25">
      <c r="A88" s="141">
        <v>159</v>
      </c>
      <c r="B88" s="125" t="s">
        <v>29</v>
      </c>
      <c r="C88" s="125" t="s">
        <v>620</v>
      </c>
      <c r="D88" s="144" t="s">
        <v>60</v>
      </c>
      <c r="E88" s="51" t="s">
        <v>1230</v>
      </c>
      <c r="F88" s="62" t="s">
        <v>1274</v>
      </c>
      <c r="G88" s="44" t="s">
        <v>1393</v>
      </c>
      <c r="H88" s="57"/>
    </row>
    <row r="89" spans="1:8" x14ac:dyDescent="0.25">
      <c r="A89" s="141">
        <v>161</v>
      </c>
      <c r="B89" s="125" t="s">
        <v>29</v>
      </c>
      <c r="C89" s="125" t="s">
        <v>30</v>
      </c>
      <c r="D89" s="144" t="s">
        <v>1146</v>
      </c>
      <c r="E89" s="51" t="s">
        <v>1231</v>
      </c>
      <c r="F89" s="62" t="s">
        <v>1247</v>
      </c>
      <c r="G89" s="44" t="s">
        <v>1324</v>
      </c>
      <c r="H89" s="57"/>
    </row>
    <row r="90" spans="1:8" x14ac:dyDescent="0.25">
      <c r="A90" s="141">
        <v>161</v>
      </c>
      <c r="B90" s="125" t="s">
        <v>29</v>
      </c>
      <c r="C90" s="125" t="s">
        <v>30</v>
      </c>
      <c r="D90" s="144" t="s">
        <v>1193</v>
      </c>
      <c r="E90" s="51" t="s">
        <v>1231</v>
      </c>
      <c r="F90" s="62" t="s">
        <v>1251</v>
      </c>
      <c r="G90" s="44" t="s">
        <v>1363</v>
      </c>
      <c r="H90" s="57"/>
    </row>
    <row r="91" spans="1:8" x14ac:dyDescent="0.25">
      <c r="A91" s="141">
        <v>162</v>
      </c>
      <c r="B91" s="125" t="s">
        <v>29</v>
      </c>
      <c r="C91" s="125" t="s">
        <v>97</v>
      </c>
      <c r="D91" s="144" t="s">
        <v>1194</v>
      </c>
      <c r="E91" s="51" t="s">
        <v>1231</v>
      </c>
      <c r="F91" s="62" t="s">
        <v>1247</v>
      </c>
      <c r="G91" s="44" t="s">
        <v>1345</v>
      </c>
      <c r="H91" s="57"/>
    </row>
    <row r="92" spans="1:8" x14ac:dyDescent="0.25">
      <c r="A92" s="141">
        <v>162</v>
      </c>
      <c r="B92" s="125" t="s">
        <v>29</v>
      </c>
      <c r="C92" s="125" t="s">
        <v>97</v>
      </c>
      <c r="D92" s="144" t="s">
        <v>1195</v>
      </c>
      <c r="E92" s="51" t="s">
        <v>1231</v>
      </c>
      <c r="F92" s="62" t="s">
        <v>1251</v>
      </c>
      <c r="G92" s="44" t="s">
        <v>1371</v>
      </c>
      <c r="H92" s="57"/>
    </row>
    <row r="93" spans="1:8" x14ac:dyDescent="0.25">
      <c r="A93" s="141">
        <v>163</v>
      </c>
      <c r="B93" s="125" t="s">
        <v>27</v>
      </c>
      <c r="C93" s="125" t="s">
        <v>627</v>
      </c>
      <c r="D93" s="144" t="s">
        <v>1196</v>
      </c>
      <c r="E93" s="51" t="s">
        <v>1231</v>
      </c>
      <c r="F93" s="62" t="s">
        <v>1247</v>
      </c>
      <c r="G93" s="44" t="s">
        <v>1328</v>
      </c>
      <c r="H93" s="57"/>
    </row>
    <row r="94" spans="1:8" x14ac:dyDescent="0.25">
      <c r="A94" s="141">
        <v>163</v>
      </c>
      <c r="B94" s="125" t="s">
        <v>27</v>
      </c>
      <c r="C94" s="125" t="s">
        <v>627</v>
      </c>
      <c r="D94" s="144" t="s">
        <v>1197</v>
      </c>
      <c r="E94" s="51" t="s">
        <v>1231</v>
      </c>
      <c r="F94" s="62" t="s">
        <v>1251</v>
      </c>
      <c r="G94" s="44" t="s">
        <v>1369</v>
      </c>
      <c r="H94" s="57"/>
    </row>
    <row r="95" spans="1:8" x14ac:dyDescent="0.25">
      <c r="A95" s="141">
        <v>166</v>
      </c>
      <c r="B95" s="125" t="s">
        <v>27</v>
      </c>
      <c r="C95" s="125" t="s">
        <v>634</v>
      </c>
      <c r="D95" s="144" t="s">
        <v>1169</v>
      </c>
      <c r="E95" s="51" t="s">
        <v>1231</v>
      </c>
      <c r="F95" s="62" t="s">
        <v>1136</v>
      </c>
      <c r="G95" s="44" t="s">
        <v>1304</v>
      </c>
      <c r="H95" s="57"/>
    </row>
    <row r="96" spans="1:8" x14ac:dyDescent="0.25">
      <c r="A96" s="141">
        <v>169</v>
      </c>
      <c r="B96" s="125" t="s">
        <v>27</v>
      </c>
      <c r="C96" s="125" t="s">
        <v>28</v>
      </c>
      <c r="D96" s="144" t="s">
        <v>26</v>
      </c>
      <c r="E96" s="51" t="s">
        <v>1230</v>
      </c>
      <c r="F96" s="62" t="s">
        <v>1275</v>
      </c>
      <c r="G96" s="44" t="s">
        <v>1321</v>
      </c>
      <c r="H96" s="57"/>
    </row>
    <row r="97" spans="1:8" x14ac:dyDescent="0.25">
      <c r="A97" s="141">
        <v>169</v>
      </c>
      <c r="B97" s="125" t="s">
        <v>27</v>
      </c>
      <c r="C97" s="125" t="s">
        <v>28</v>
      </c>
      <c r="D97" s="144" t="s">
        <v>35</v>
      </c>
      <c r="E97" s="51" t="s">
        <v>1230</v>
      </c>
      <c r="F97" s="62" t="s">
        <v>1276</v>
      </c>
      <c r="G97" s="44" t="s">
        <v>1341</v>
      </c>
      <c r="H97" s="57"/>
    </row>
    <row r="98" spans="1:8" x14ac:dyDescent="0.25">
      <c r="A98" s="141">
        <v>169</v>
      </c>
      <c r="B98" s="125" t="s">
        <v>27</v>
      </c>
      <c r="C98" s="125" t="s">
        <v>28</v>
      </c>
      <c r="D98" s="144" t="s">
        <v>54</v>
      </c>
      <c r="E98" s="51" t="s">
        <v>1230</v>
      </c>
      <c r="F98" s="62" t="s">
        <v>1277</v>
      </c>
      <c r="G98" s="44" t="s">
        <v>1380</v>
      </c>
      <c r="H98" s="57"/>
    </row>
    <row r="99" spans="1:8" x14ac:dyDescent="0.25">
      <c r="A99" s="141">
        <v>170</v>
      </c>
      <c r="B99" s="125" t="s">
        <v>96</v>
      </c>
      <c r="C99" s="125" t="s">
        <v>101</v>
      </c>
      <c r="D99" s="144" t="s">
        <v>1198</v>
      </c>
      <c r="E99" s="51" t="s">
        <v>1231</v>
      </c>
      <c r="F99" s="62" t="s">
        <v>1247</v>
      </c>
      <c r="G99" s="44" t="s">
        <v>1354</v>
      </c>
      <c r="H99" s="57"/>
    </row>
    <row r="100" spans="1:8" x14ac:dyDescent="0.25">
      <c r="A100" s="141">
        <v>170</v>
      </c>
      <c r="B100" s="125" t="s">
        <v>96</v>
      </c>
      <c r="C100" s="125" t="s">
        <v>101</v>
      </c>
      <c r="D100" s="144" t="s">
        <v>1199</v>
      </c>
      <c r="E100" s="51" t="s">
        <v>1231</v>
      </c>
      <c r="F100" s="62" t="s">
        <v>1251</v>
      </c>
      <c r="G100" s="44" t="s">
        <v>1364</v>
      </c>
      <c r="H100" s="57"/>
    </row>
    <row r="101" spans="1:8" x14ac:dyDescent="0.25">
      <c r="A101" s="141">
        <v>170</v>
      </c>
      <c r="B101" s="125" t="s">
        <v>96</v>
      </c>
      <c r="C101" s="125" t="s">
        <v>101</v>
      </c>
      <c r="D101" s="144" t="s">
        <v>42</v>
      </c>
      <c r="E101" s="51" t="s">
        <v>1230</v>
      </c>
      <c r="F101" s="62" t="s">
        <v>1278</v>
      </c>
      <c r="G101" s="44" t="s">
        <v>1355</v>
      </c>
      <c r="H101" s="57"/>
    </row>
    <row r="102" spans="1:8" x14ac:dyDescent="0.25">
      <c r="A102" s="141">
        <v>170</v>
      </c>
      <c r="B102" s="125" t="s">
        <v>96</v>
      </c>
      <c r="C102" s="125" t="s">
        <v>101</v>
      </c>
      <c r="D102" s="144" t="s">
        <v>43</v>
      </c>
      <c r="E102" s="51" t="s">
        <v>1230</v>
      </c>
      <c r="F102" s="62" t="s">
        <v>1279</v>
      </c>
      <c r="G102" s="44" t="s">
        <v>1356</v>
      </c>
      <c r="H102" s="57"/>
    </row>
    <row r="103" spans="1:8" x14ac:dyDescent="0.25">
      <c r="A103" s="141">
        <v>170</v>
      </c>
      <c r="B103" s="125" t="s">
        <v>96</v>
      </c>
      <c r="C103" s="125" t="s">
        <v>101</v>
      </c>
      <c r="D103" s="144" t="s">
        <v>56</v>
      </c>
      <c r="E103" s="51" t="s">
        <v>1230</v>
      </c>
      <c r="F103" s="62" t="s">
        <v>1280</v>
      </c>
      <c r="G103" s="44" t="s">
        <v>1389</v>
      </c>
      <c r="H103" s="57"/>
    </row>
    <row r="104" spans="1:8" x14ac:dyDescent="0.25">
      <c r="A104" s="141">
        <v>170</v>
      </c>
      <c r="B104" s="125" t="s">
        <v>96</v>
      </c>
      <c r="C104" s="125" t="s">
        <v>101</v>
      </c>
      <c r="D104" s="144" t="s">
        <v>57</v>
      </c>
      <c r="E104" s="51" t="s">
        <v>1230</v>
      </c>
      <c r="F104" s="62" t="s">
        <v>1281</v>
      </c>
      <c r="G104" s="44" t="s">
        <v>1390</v>
      </c>
      <c r="H104" s="57"/>
    </row>
    <row r="105" spans="1:8" x14ac:dyDescent="0.25">
      <c r="A105" s="141">
        <v>171</v>
      </c>
      <c r="B105" s="125" t="s">
        <v>96</v>
      </c>
      <c r="C105" s="125" t="s">
        <v>644</v>
      </c>
      <c r="D105" s="144" t="s">
        <v>1200</v>
      </c>
      <c r="E105" s="51" t="s">
        <v>1231</v>
      </c>
      <c r="F105" s="62" t="s">
        <v>1247</v>
      </c>
      <c r="G105" s="44" t="s">
        <v>1325</v>
      </c>
      <c r="H105" s="57"/>
    </row>
    <row r="106" spans="1:8" x14ac:dyDescent="0.25">
      <c r="A106" s="141">
        <v>171</v>
      </c>
      <c r="B106" s="125" t="s">
        <v>96</v>
      </c>
      <c r="C106" s="125" t="s">
        <v>644</v>
      </c>
      <c r="D106" s="144" t="s">
        <v>1201</v>
      </c>
      <c r="E106" s="51" t="s">
        <v>1231</v>
      </c>
      <c r="F106" s="62" t="s">
        <v>1251</v>
      </c>
      <c r="G106" s="44" t="s">
        <v>1365</v>
      </c>
      <c r="H106" s="57"/>
    </row>
    <row r="107" spans="1:8" x14ac:dyDescent="0.25">
      <c r="A107" s="141">
        <v>175</v>
      </c>
      <c r="B107" s="125" t="s">
        <v>96</v>
      </c>
      <c r="C107" s="125" t="s">
        <v>102</v>
      </c>
      <c r="D107" s="144" t="s">
        <v>1202</v>
      </c>
      <c r="E107" s="51" t="s">
        <v>1231</v>
      </c>
      <c r="F107" s="62" t="s">
        <v>1247</v>
      </c>
      <c r="G107" s="44" t="s">
        <v>1337</v>
      </c>
      <c r="H107" s="57"/>
    </row>
    <row r="108" spans="1:8" x14ac:dyDescent="0.25">
      <c r="A108" s="141">
        <v>175</v>
      </c>
      <c r="B108" s="125" t="s">
        <v>96</v>
      </c>
      <c r="C108" s="125" t="s">
        <v>102</v>
      </c>
      <c r="D108" s="144" t="s">
        <v>1203</v>
      </c>
      <c r="E108" s="51" t="s">
        <v>1231</v>
      </c>
      <c r="F108" s="62" t="s">
        <v>1248</v>
      </c>
      <c r="G108" s="44" t="s">
        <v>1340</v>
      </c>
      <c r="H108" s="57"/>
    </row>
    <row r="109" spans="1:8" x14ac:dyDescent="0.25">
      <c r="A109" s="141">
        <v>175</v>
      </c>
      <c r="B109" s="125" t="s">
        <v>96</v>
      </c>
      <c r="C109" s="125" t="s">
        <v>102</v>
      </c>
      <c r="D109" s="144" t="s">
        <v>1204</v>
      </c>
      <c r="E109" s="51" t="s">
        <v>1231</v>
      </c>
      <c r="F109" s="62" t="s">
        <v>1249</v>
      </c>
      <c r="G109" s="44" t="s">
        <v>1377</v>
      </c>
      <c r="H109" s="57"/>
    </row>
    <row r="110" spans="1:8" x14ac:dyDescent="0.25">
      <c r="A110" s="141">
        <v>175</v>
      </c>
      <c r="B110" s="125" t="s">
        <v>96</v>
      </c>
      <c r="C110" s="125" t="s">
        <v>102</v>
      </c>
      <c r="D110" s="144" t="s">
        <v>1205</v>
      </c>
      <c r="E110" s="51" t="s">
        <v>1231</v>
      </c>
      <c r="F110" s="62" t="s">
        <v>1251</v>
      </c>
      <c r="G110" s="44" t="s">
        <v>1367</v>
      </c>
      <c r="H110" s="57"/>
    </row>
    <row r="111" spans="1:8" x14ac:dyDescent="0.25">
      <c r="A111" s="141">
        <v>175</v>
      </c>
      <c r="B111" s="125" t="s">
        <v>96</v>
      </c>
      <c r="C111" s="125" t="s">
        <v>102</v>
      </c>
      <c r="D111" s="144" t="s">
        <v>1206</v>
      </c>
      <c r="E111" s="51" t="s">
        <v>1231</v>
      </c>
      <c r="F111" s="62" t="s">
        <v>1252</v>
      </c>
      <c r="G111" s="44" t="s">
        <v>1375</v>
      </c>
      <c r="H111" s="57"/>
    </row>
    <row r="112" spans="1:8" x14ac:dyDescent="0.25">
      <c r="A112" s="141">
        <v>175</v>
      </c>
      <c r="B112" s="125" t="s">
        <v>96</v>
      </c>
      <c r="C112" s="125" t="s">
        <v>102</v>
      </c>
      <c r="D112" s="144" t="s">
        <v>1207</v>
      </c>
      <c r="E112" s="51" t="s">
        <v>1231</v>
      </c>
      <c r="F112" s="62" t="s">
        <v>1253</v>
      </c>
      <c r="G112" s="44" t="s">
        <v>1376</v>
      </c>
      <c r="H112" s="57"/>
    </row>
    <row r="113" spans="1:8" x14ac:dyDescent="0.25">
      <c r="A113" s="141">
        <v>176</v>
      </c>
      <c r="B113" s="125" t="s">
        <v>45</v>
      </c>
      <c r="C113" s="125" t="s">
        <v>46</v>
      </c>
      <c r="D113" s="144" t="s">
        <v>44</v>
      </c>
      <c r="E113" s="51" t="s">
        <v>1230</v>
      </c>
      <c r="F113" s="62" t="s">
        <v>1282</v>
      </c>
      <c r="G113" s="44" t="s">
        <v>1357</v>
      </c>
      <c r="H113" s="57"/>
    </row>
    <row r="114" spans="1:8" x14ac:dyDescent="0.25">
      <c r="A114" s="141">
        <v>176</v>
      </c>
      <c r="B114" s="125" t="s">
        <v>45</v>
      </c>
      <c r="C114" s="125" t="s">
        <v>46</v>
      </c>
      <c r="D114" s="144" t="s">
        <v>58</v>
      </c>
      <c r="E114" s="51" t="s">
        <v>1230</v>
      </c>
      <c r="F114" s="62" t="s">
        <v>1283</v>
      </c>
      <c r="G114" s="44" t="s">
        <v>1391</v>
      </c>
      <c r="H114" s="57"/>
    </row>
    <row r="115" spans="1:8" x14ac:dyDescent="0.25">
      <c r="A115" s="141">
        <v>177</v>
      </c>
      <c r="B115" s="125" t="s">
        <v>98</v>
      </c>
      <c r="C115" s="125" t="s">
        <v>657</v>
      </c>
      <c r="D115" s="144" t="s">
        <v>1208</v>
      </c>
      <c r="E115" s="51" t="s">
        <v>1231</v>
      </c>
      <c r="F115" s="62" t="s">
        <v>1247</v>
      </c>
      <c r="G115" s="44" t="s">
        <v>1327</v>
      </c>
      <c r="H115" s="57"/>
    </row>
    <row r="116" spans="1:8" x14ac:dyDescent="0.25">
      <c r="A116" s="141">
        <v>177</v>
      </c>
      <c r="B116" s="125" t="s">
        <v>98</v>
      </c>
      <c r="C116" s="125" t="s">
        <v>657</v>
      </c>
      <c r="D116" s="144" t="s">
        <v>1209</v>
      </c>
      <c r="E116" s="51" t="s">
        <v>1231</v>
      </c>
      <c r="F116" s="62" t="s">
        <v>1251</v>
      </c>
      <c r="G116" s="44" t="s">
        <v>1368</v>
      </c>
      <c r="H116" s="57"/>
    </row>
    <row r="117" spans="1:8" x14ac:dyDescent="0.25">
      <c r="A117" s="141">
        <v>178</v>
      </c>
      <c r="B117" s="125" t="s">
        <v>99</v>
      </c>
      <c r="C117" s="125" t="s">
        <v>659</v>
      </c>
      <c r="D117" s="144" t="s">
        <v>1210</v>
      </c>
      <c r="E117" s="51" t="s">
        <v>1231</v>
      </c>
      <c r="F117" s="62" t="s">
        <v>1247</v>
      </c>
      <c r="G117" s="44" t="s">
        <v>1326</v>
      </c>
      <c r="H117" s="57"/>
    </row>
    <row r="118" spans="1:8" x14ac:dyDescent="0.25">
      <c r="A118" s="141">
        <v>178</v>
      </c>
      <c r="B118" s="125" t="s">
        <v>99</v>
      </c>
      <c r="C118" s="125" t="s">
        <v>659</v>
      </c>
      <c r="D118" s="144" t="s">
        <v>1211</v>
      </c>
      <c r="E118" s="51" t="s">
        <v>1231</v>
      </c>
      <c r="F118" s="62" t="s">
        <v>1251</v>
      </c>
      <c r="G118" s="44" t="s">
        <v>1366</v>
      </c>
      <c r="H118" s="57"/>
    </row>
    <row r="119" spans="1:8" x14ac:dyDescent="0.25">
      <c r="A119" s="141">
        <v>181</v>
      </c>
      <c r="B119" s="125" t="s">
        <v>64</v>
      </c>
      <c r="C119" s="125" t="s">
        <v>665</v>
      </c>
      <c r="D119" s="144" t="s">
        <v>1212</v>
      </c>
      <c r="E119" s="51" t="s">
        <v>1231</v>
      </c>
      <c r="F119" s="62" t="s">
        <v>1284</v>
      </c>
      <c r="G119" s="44" t="s">
        <v>1400</v>
      </c>
      <c r="H119" s="57" t="s">
        <v>1038</v>
      </c>
    </row>
    <row r="120" spans="1:8" x14ac:dyDescent="0.25">
      <c r="A120" s="141">
        <v>181</v>
      </c>
      <c r="B120" s="125" t="s">
        <v>64</v>
      </c>
      <c r="C120" s="125" t="s">
        <v>665</v>
      </c>
      <c r="D120" s="144" t="s">
        <v>63</v>
      </c>
      <c r="E120" s="51" t="s">
        <v>1230</v>
      </c>
      <c r="F120" s="62" t="s">
        <v>1284</v>
      </c>
      <c r="G120" s="44" t="s">
        <v>1397</v>
      </c>
      <c r="H120" s="57" t="s">
        <v>1038</v>
      </c>
    </row>
    <row r="121" spans="1:8" x14ac:dyDescent="0.25">
      <c r="A121" s="141">
        <v>181</v>
      </c>
      <c r="B121" s="125" t="s">
        <v>64</v>
      </c>
      <c r="C121" s="125" t="s">
        <v>665</v>
      </c>
      <c r="D121" s="144" t="s">
        <v>1213</v>
      </c>
      <c r="E121" s="51" t="s">
        <v>1230</v>
      </c>
      <c r="F121" s="62" t="s">
        <v>1285</v>
      </c>
      <c r="G121" s="44" t="s">
        <v>1396</v>
      </c>
      <c r="H121" s="57" t="s">
        <v>1038</v>
      </c>
    </row>
    <row r="122" spans="1:8" x14ac:dyDescent="0.25">
      <c r="A122" s="141">
        <v>183</v>
      </c>
      <c r="B122" s="125" t="s">
        <v>64</v>
      </c>
      <c r="C122" s="125" t="s">
        <v>670</v>
      </c>
      <c r="D122" s="144" t="s">
        <v>1214</v>
      </c>
      <c r="E122" s="51" t="s">
        <v>1231</v>
      </c>
      <c r="F122" s="62" t="s">
        <v>1284</v>
      </c>
      <c r="G122" s="44" t="s">
        <v>1398</v>
      </c>
      <c r="H122" s="57"/>
    </row>
    <row r="123" spans="1:8" x14ac:dyDescent="0.25">
      <c r="A123" s="141">
        <v>183</v>
      </c>
      <c r="B123" s="125" t="s">
        <v>64</v>
      </c>
      <c r="C123" s="125" t="s">
        <v>670</v>
      </c>
      <c r="D123" s="144" t="s">
        <v>1215</v>
      </c>
      <c r="E123" s="51" t="s">
        <v>1231</v>
      </c>
      <c r="F123" s="62" t="s">
        <v>1285</v>
      </c>
      <c r="G123" s="44" t="s">
        <v>1399</v>
      </c>
      <c r="H123" s="57"/>
    </row>
    <row r="124" spans="1:8" x14ac:dyDescent="0.25">
      <c r="A124" s="141">
        <v>190</v>
      </c>
      <c r="B124" s="125" t="s">
        <v>64</v>
      </c>
      <c r="C124" s="125" t="s">
        <v>685</v>
      </c>
      <c r="D124" s="144" t="s">
        <v>65</v>
      </c>
      <c r="E124" s="51" t="s">
        <v>1230</v>
      </c>
      <c r="F124" s="62" t="s">
        <v>1286</v>
      </c>
      <c r="G124" s="44" t="s">
        <v>1409</v>
      </c>
      <c r="H124" s="57"/>
    </row>
    <row r="125" spans="1:8" x14ac:dyDescent="0.25">
      <c r="A125" s="141">
        <v>190</v>
      </c>
      <c r="B125" s="125" t="s">
        <v>64</v>
      </c>
      <c r="C125" s="125" t="s">
        <v>685</v>
      </c>
      <c r="D125" s="144" t="s">
        <v>68</v>
      </c>
      <c r="E125" s="51" t="s">
        <v>1230</v>
      </c>
      <c r="F125" s="62" t="s">
        <v>1287</v>
      </c>
      <c r="G125" s="44" t="s">
        <v>1403</v>
      </c>
      <c r="H125" s="57"/>
    </row>
    <row r="126" spans="1:8" x14ac:dyDescent="0.25">
      <c r="A126" s="141">
        <v>190</v>
      </c>
      <c r="B126" s="125" t="s">
        <v>64</v>
      </c>
      <c r="C126" s="125" t="s">
        <v>685</v>
      </c>
      <c r="D126" s="144" t="s">
        <v>71</v>
      </c>
      <c r="E126" s="51" t="s">
        <v>1230</v>
      </c>
      <c r="F126" s="62" t="s">
        <v>1288</v>
      </c>
      <c r="G126" s="44" t="s">
        <v>1416</v>
      </c>
      <c r="H126" s="57"/>
    </row>
    <row r="127" spans="1:8" x14ac:dyDescent="0.25">
      <c r="A127" s="141">
        <v>190</v>
      </c>
      <c r="B127" s="125" t="s">
        <v>64</v>
      </c>
      <c r="C127" s="125" t="s">
        <v>685</v>
      </c>
      <c r="D127" s="144" t="s">
        <v>73</v>
      </c>
      <c r="E127" s="51" t="s">
        <v>1230</v>
      </c>
      <c r="F127" s="62" t="s">
        <v>1289</v>
      </c>
      <c r="G127" s="44" t="s">
        <v>1422</v>
      </c>
      <c r="H127" s="57"/>
    </row>
    <row r="128" spans="1:8" x14ac:dyDescent="0.25">
      <c r="A128" s="141">
        <v>194</v>
      </c>
      <c r="B128" s="125" t="s">
        <v>64</v>
      </c>
      <c r="C128" s="125" t="s">
        <v>693</v>
      </c>
      <c r="D128" s="144" t="s">
        <v>1216</v>
      </c>
      <c r="E128" s="51" t="s">
        <v>1231</v>
      </c>
      <c r="F128" s="62" t="s">
        <v>1286</v>
      </c>
      <c r="G128" s="44" t="s">
        <v>1408</v>
      </c>
      <c r="H128" s="57" t="s">
        <v>1401</v>
      </c>
    </row>
    <row r="129" spans="1:8" x14ac:dyDescent="0.25">
      <c r="A129" s="141">
        <v>194</v>
      </c>
      <c r="B129" s="125" t="s">
        <v>64</v>
      </c>
      <c r="C129" s="125" t="s">
        <v>693</v>
      </c>
      <c r="D129" s="144" t="s">
        <v>1217</v>
      </c>
      <c r="E129" s="51" t="s">
        <v>1231</v>
      </c>
      <c r="F129" s="62" t="s">
        <v>1239</v>
      </c>
      <c r="G129" s="44" t="s">
        <v>1405</v>
      </c>
      <c r="H129" s="57" t="s">
        <v>1402</v>
      </c>
    </row>
    <row r="130" spans="1:8" x14ac:dyDescent="0.25">
      <c r="A130" s="141">
        <v>194</v>
      </c>
      <c r="B130" s="125" t="s">
        <v>64</v>
      </c>
      <c r="C130" s="125" t="s">
        <v>693</v>
      </c>
      <c r="D130" s="144" t="s">
        <v>1218</v>
      </c>
      <c r="E130" s="51" t="s">
        <v>1231</v>
      </c>
      <c r="F130" s="62" t="s">
        <v>1288</v>
      </c>
      <c r="G130" s="44" t="s">
        <v>1417</v>
      </c>
      <c r="H130" s="57"/>
    </row>
    <row r="131" spans="1:8" x14ac:dyDescent="0.25">
      <c r="A131" s="141">
        <v>194</v>
      </c>
      <c r="B131" s="125" t="s">
        <v>64</v>
      </c>
      <c r="C131" s="125" t="s">
        <v>693</v>
      </c>
      <c r="D131" s="144" t="s">
        <v>1219</v>
      </c>
      <c r="E131" s="51" t="s">
        <v>1231</v>
      </c>
      <c r="F131" s="62" t="s">
        <v>1242</v>
      </c>
      <c r="G131" s="44" t="s">
        <v>1420</v>
      </c>
      <c r="H131" s="57"/>
    </row>
    <row r="132" spans="1:8" x14ac:dyDescent="0.25">
      <c r="A132" s="141">
        <v>195</v>
      </c>
      <c r="B132" s="125" t="s">
        <v>64</v>
      </c>
      <c r="C132" s="125" t="s">
        <v>695</v>
      </c>
      <c r="D132" s="144" t="s">
        <v>1220</v>
      </c>
      <c r="E132" s="51" t="s">
        <v>1231</v>
      </c>
      <c r="F132" s="62" t="s">
        <v>1286</v>
      </c>
      <c r="G132" s="44" t="s">
        <v>1407</v>
      </c>
      <c r="H132" s="57"/>
    </row>
    <row r="133" spans="1:8" x14ac:dyDescent="0.25">
      <c r="A133" s="141">
        <v>195</v>
      </c>
      <c r="B133" s="125" t="s">
        <v>64</v>
      </c>
      <c r="C133" s="125" t="s">
        <v>695</v>
      </c>
      <c r="D133" s="144" t="s">
        <v>1221</v>
      </c>
      <c r="E133" s="51" t="s">
        <v>1231</v>
      </c>
      <c r="F133" s="62" t="s">
        <v>1288</v>
      </c>
      <c r="G133" s="44" t="s">
        <v>1418</v>
      </c>
      <c r="H133" s="57"/>
    </row>
    <row r="134" spans="1:8" x14ac:dyDescent="0.25">
      <c r="A134" s="141">
        <v>197</v>
      </c>
      <c r="B134" s="125" t="s">
        <v>64</v>
      </c>
      <c r="C134" s="125" t="s">
        <v>698</v>
      </c>
      <c r="D134" s="144" t="s">
        <v>69</v>
      </c>
      <c r="E134" s="51" t="s">
        <v>1230</v>
      </c>
      <c r="F134" s="62" t="s">
        <v>1290</v>
      </c>
      <c r="G134" s="44" t="s">
        <v>1412</v>
      </c>
      <c r="H134" s="57" t="s">
        <v>1038</v>
      </c>
    </row>
    <row r="135" spans="1:8" x14ac:dyDescent="0.25">
      <c r="A135" s="141">
        <v>197</v>
      </c>
      <c r="B135" s="125" t="s">
        <v>64</v>
      </c>
      <c r="C135" s="125" t="s">
        <v>698</v>
      </c>
      <c r="D135" s="144" t="s">
        <v>1222</v>
      </c>
      <c r="E135" s="51" t="s">
        <v>1230</v>
      </c>
      <c r="F135" s="62" t="s">
        <v>1291</v>
      </c>
      <c r="G135" s="44" t="s">
        <v>1414</v>
      </c>
      <c r="H135" s="57" t="s">
        <v>1038</v>
      </c>
    </row>
    <row r="136" spans="1:8" x14ac:dyDescent="0.25">
      <c r="A136" s="141">
        <v>197</v>
      </c>
      <c r="B136" s="125" t="s">
        <v>64</v>
      </c>
      <c r="C136" s="125" t="s">
        <v>698</v>
      </c>
      <c r="D136" s="144" t="s">
        <v>74</v>
      </c>
      <c r="E136" s="51" t="s">
        <v>1230</v>
      </c>
      <c r="F136" s="62" t="s">
        <v>1292</v>
      </c>
      <c r="G136" s="44" t="s">
        <v>1425</v>
      </c>
      <c r="H136" s="57" t="s">
        <v>1038</v>
      </c>
    </row>
    <row r="137" spans="1:8" x14ac:dyDescent="0.25">
      <c r="A137" s="141">
        <v>197</v>
      </c>
      <c r="B137" s="125" t="s">
        <v>64</v>
      </c>
      <c r="C137" s="125" t="s">
        <v>698</v>
      </c>
      <c r="D137" s="144" t="s">
        <v>1223</v>
      </c>
      <c r="E137" s="51" t="s">
        <v>1230</v>
      </c>
      <c r="F137" s="62" t="s">
        <v>1293</v>
      </c>
      <c r="G137" s="44" t="s">
        <v>1427</v>
      </c>
      <c r="H137" s="57" t="s">
        <v>1038</v>
      </c>
    </row>
    <row r="138" spans="1:8" x14ac:dyDescent="0.25">
      <c r="A138" s="141">
        <v>198</v>
      </c>
      <c r="B138" s="125" t="s">
        <v>64</v>
      </c>
      <c r="C138" s="125" t="s">
        <v>701</v>
      </c>
      <c r="D138" s="144" t="s">
        <v>1224</v>
      </c>
      <c r="E138" s="51" t="s">
        <v>1231</v>
      </c>
      <c r="F138" s="62" t="s">
        <v>1287</v>
      </c>
      <c r="G138" s="44" t="s">
        <v>1410</v>
      </c>
      <c r="H138" s="57"/>
    </row>
    <row r="139" spans="1:8" x14ac:dyDescent="0.25">
      <c r="A139" s="141">
        <v>198</v>
      </c>
      <c r="B139" s="125" t="s">
        <v>64</v>
      </c>
      <c r="C139" s="125" t="s">
        <v>701</v>
      </c>
      <c r="D139" s="144" t="s">
        <v>1225</v>
      </c>
      <c r="E139" s="51" t="s">
        <v>1231</v>
      </c>
      <c r="F139" s="62" t="s">
        <v>1290</v>
      </c>
      <c r="G139" s="44" t="s">
        <v>1413</v>
      </c>
      <c r="H139" s="57"/>
    </row>
    <row r="140" spans="1:8" x14ac:dyDescent="0.25">
      <c r="A140" s="141">
        <v>198</v>
      </c>
      <c r="B140" s="125" t="s">
        <v>64</v>
      </c>
      <c r="C140" s="125" t="s">
        <v>701</v>
      </c>
      <c r="D140" s="144" t="s">
        <v>1226</v>
      </c>
      <c r="E140" s="51" t="s">
        <v>1231</v>
      </c>
      <c r="F140" s="62" t="s">
        <v>1289</v>
      </c>
      <c r="G140" s="44" t="s">
        <v>1423</v>
      </c>
      <c r="H140" s="57"/>
    </row>
    <row r="141" spans="1:8" x14ac:dyDescent="0.25">
      <c r="A141" s="141">
        <v>198</v>
      </c>
      <c r="B141" s="125" t="s">
        <v>64</v>
      </c>
      <c r="C141" s="125" t="s">
        <v>701</v>
      </c>
      <c r="D141" s="144" t="s">
        <v>1227</v>
      </c>
      <c r="E141" s="51" t="s">
        <v>1231</v>
      </c>
      <c r="F141" s="62" t="s">
        <v>1292</v>
      </c>
      <c r="G141" s="44" t="s">
        <v>1426</v>
      </c>
      <c r="H141" s="57"/>
    </row>
    <row r="142" spans="1:8" x14ac:dyDescent="0.25">
      <c r="A142" s="141">
        <v>199</v>
      </c>
      <c r="B142" s="125" t="s">
        <v>64</v>
      </c>
      <c r="C142" s="125" t="s">
        <v>104</v>
      </c>
      <c r="D142" s="144" t="s">
        <v>1228</v>
      </c>
      <c r="E142" s="51" t="s">
        <v>1231</v>
      </c>
      <c r="F142" s="62" t="s">
        <v>1287</v>
      </c>
      <c r="G142" s="44" t="s">
        <v>1411</v>
      </c>
      <c r="H142" s="57"/>
    </row>
    <row r="143" spans="1:8" ht="15.75" thickBot="1" x14ac:dyDescent="0.3">
      <c r="A143" s="141">
        <v>199</v>
      </c>
      <c r="B143" s="125" t="s">
        <v>64</v>
      </c>
      <c r="C143" s="125" t="s">
        <v>104</v>
      </c>
      <c r="D143" s="144" t="s">
        <v>1229</v>
      </c>
      <c r="E143" s="53" t="s">
        <v>1231</v>
      </c>
      <c r="F143" s="67" t="s">
        <v>1289</v>
      </c>
      <c r="G143" s="60" t="s">
        <v>1424</v>
      </c>
      <c r="H143" s="61"/>
    </row>
  </sheetData>
  <sheetProtection formatColumns="0" formatRows="0" insertRows="0" sort="0" autoFilter="0"/>
  <mergeCells count="13">
    <mergeCell ref="A9:D9"/>
    <mergeCell ref="E9:H9"/>
    <mergeCell ref="A5:B5"/>
    <mergeCell ref="C5:D5"/>
    <mergeCell ref="A6:B6"/>
    <mergeCell ref="C6:D6"/>
    <mergeCell ref="A4:B4"/>
    <mergeCell ref="C4:D4"/>
    <mergeCell ref="A1:D1"/>
    <mergeCell ref="A2:B2"/>
    <mergeCell ref="C2:D2"/>
    <mergeCell ref="A3:B3"/>
    <mergeCell ref="C3:D3"/>
  </mergeCells>
  <conditionalFormatting sqref="E11:E143">
    <cfRule type="cellIs" dxfId="28" priority="1" operator="equal">
      <formula>"Instrument"</formula>
    </cfRule>
    <cfRule type="cellIs" dxfId="27" priority="2" operator="equal">
      <formula>"Equipment"</formula>
    </cfRule>
  </conditionalFormatting>
  <dataValidations count="1">
    <dataValidation type="list" allowBlank="1" showInputMessage="1" showErrorMessage="1" sqref="E11:E143" xr:uid="{BB20CC4A-CE28-42AF-94AE-D78E8A24BF96}">
      <formula1>"Instrument, Equipment"</formula1>
    </dataValidation>
  </dataValidations>
  <pageMargins left="0.25" right="0.125" top="0.25" bottom="0.25" header="0" footer="0"/>
  <pageSetup paperSize="3" scale="86"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768D6-8B69-4DD7-8D18-C4817A70B937}">
  <sheetPr codeName="Sheet6">
    <pageSetUpPr fitToPage="1"/>
  </sheetPr>
  <dimension ref="A1:G84"/>
  <sheetViews>
    <sheetView topLeftCell="A3" zoomScale="85" zoomScaleNormal="85" workbookViewId="0">
      <selection activeCell="A10" sqref="A10"/>
    </sheetView>
  </sheetViews>
  <sheetFormatPr defaultRowHeight="15" x14ac:dyDescent="0.25"/>
  <cols>
    <col min="1" max="1" width="14.5703125" style="3" customWidth="1"/>
    <col min="2" max="2" width="25.28515625" style="3" customWidth="1"/>
    <col min="3" max="3" width="40.85546875" style="3" customWidth="1"/>
    <col min="4" max="4" width="19.140625" style="3" customWidth="1"/>
    <col min="5" max="5" width="21.85546875" style="3" customWidth="1"/>
    <col min="6" max="6" width="19" style="3" customWidth="1"/>
    <col min="7" max="7" width="146" style="3" customWidth="1"/>
    <col min="8" max="16384" width="9.140625" style="3"/>
  </cols>
  <sheetData>
    <row r="1" spans="1:7" ht="15.75" thickBot="1" x14ac:dyDescent="0.3">
      <c r="A1" s="98" t="s">
        <v>344</v>
      </c>
      <c r="B1" s="99"/>
      <c r="C1" s="99"/>
      <c r="D1" s="100"/>
    </row>
    <row r="2" spans="1:7" x14ac:dyDescent="0.25">
      <c r="A2" s="103" t="s">
        <v>345</v>
      </c>
      <c r="B2" s="104"/>
      <c r="C2" s="107">
        <f>Proj_Number</f>
        <v>20570</v>
      </c>
      <c r="D2" s="108"/>
    </row>
    <row r="3" spans="1:7" x14ac:dyDescent="0.25">
      <c r="A3" s="103" t="s">
        <v>346</v>
      </c>
      <c r="B3" s="104"/>
      <c r="C3" s="105" t="str">
        <f>Proj_Customer</f>
        <v>Company</v>
      </c>
      <c r="D3" s="106"/>
    </row>
    <row r="4" spans="1:7" x14ac:dyDescent="0.25">
      <c r="A4" s="103" t="s">
        <v>347</v>
      </c>
      <c r="B4" s="104"/>
      <c r="C4" s="105" t="str">
        <f>Proj_Name</f>
        <v>600HP Face Reversing 4H Rolling Mill</v>
      </c>
      <c r="D4" s="106"/>
    </row>
    <row r="5" spans="1:7" x14ac:dyDescent="0.25">
      <c r="A5" s="103" t="s">
        <v>348</v>
      </c>
      <c r="B5" s="104"/>
      <c r="C5" s="105" t="str">
        <f>Proj_Specifications</f>
        <v>480VAC/60Hz/3P(Δ), 1200 AMP</v>
      </c>
      <c r="D5" s="106"/>
    </row>
    <row r="6" spans="1:7" ht="15.75" thickBot="1" x14ac:dyDescent="0.3">
      <c r="A6" s="101" t="s">
        <v>349</v>
      </c>
      <c r="B6" s="102"/>
      <c r="C6" s="109">
        <f>Last_Synced</f>
        <v>46073.355636574073</v>
      </c>
      <c r="D6" s="110"/>
    </row>
    <row r="8" spans="1:7" ht="15.75" thickBot="1" x14ac:dyDescent="0.3"/>
    <row r="9" spans="1:7" ht="56.25" customHeight="1" thickBot="1" x14ac:dyDescent="0.3">
      <c r="A9" s="81" t="str">
        <f>"Your Company" &amp; CHAR(10) &amp; Proj_Number &amp; " - " &amp; Proj_Customer &amp; " - " &amp; Proj_Name &amp; CHAR(10) &amp; "P&amp;ID Control loops List"</f>
        <v>Your Company
20570 - Company - 600HP Face Reversing 4H Rolling Mill
P&amp;ID Control loops List</v>
      </c>
      <c r="B9" s="82"/>
      <c r="C9" s="82"/>
      <c r="D9" s="82"/>
      <c r="E9" s="82"/>
      <c r="F9" s="82"/>
      <c r="G9" s="83"/>
    </row>
    <row r="10" spans="1:7" s="2" customFormat="1" ht="30" x14ac:dyDescent="0.25">
      <c r="A10" s="20" t="s">
        <v>154</v>
      </c>
      <c r="B10" s="20" t="s">
        <v>181</v>
      </c>
      <c r="C10" s="20" t="s">
        <v>140</v>
      </c>
      <c r="D10" s="54" t="s">
        <v>149</v>
      </c>
      <c r="E10" s="20" t="s">
        <v>329</v>
      </c>
      <c r="F10" s="55" t="s">
        <v>338</v>
      </c>
      <c r="G10" s="20" t="s">
        <v>339</v>
      </c>
    </row>
    <row r="11" spans="1:7" ht="45" x14ac:dyDescent="0.25">
      <c r="A11" s="62" t="s">
        <v>4</v>
      </c>
      <c r="B11" s="24" t="s">
        <v>186</v>
      </c>
      <c r="C11" s="44" t="s">
        <v>1454</v>
      </c>
      <c r="D11" s="54" t="s">
        <v>141</v>
      </c>
      <c r="E11" s="20" t="s">
        <v>145</v>
      </c>
      <c r="F11" s="55"/>
      <c r="G11" s="58" t="s">
        <v>1096</v>
      </c>
    </row>
    <row r="12" spans="1:7" ht="30" x14ac:dyDescent="0.25">
      <c r="A12" s="62" t="s">
        <v>8</v>
      </c>
      <c r="B12" s="24" t="s">
        <v>186</v>
      </c>
      <c r="C12" s="44" t="s">
        <v>142</v>
      </c>
      <c r="D12" s="54" t="s">
        <v>7</v>
      </c>
      <c r="E12" s="20" t="s">
        <v>145</v>
      </c>
      <c r="F12" s="55"/>
      <c r="G12" s="58" t="s">
        <v>146</v>
      </c>
    </row>
    <row r="13" spans="1:7" ht="30" x14ac:dyDescent="0.25">
      <c r="A13" s="62" t="s">
        <v>10</v>
      </c>
      <c r="B13" s="24" t="s">
        <v>186</v>
      </c>
      <c r="C13" s="44" t="s">
        <v>143</v>
      </c>
      <c r="D13" s="54" t="s">
        <v>9</v>
      </c>
      <c r="E13" s="20" t="s">
        <v>145</v>
      </c>
      <c r="F13" s="55"/>
      <c r="G13" s="58" t="s">
        <v>146</v>
      </c>
    </row>
    <row r="14" spans="1:7" ht="30" x14ac:dyDescent="0.25">
      <c r="A14" s="62" t="s">
        <v>12</v>
      </c>
      <c r="B14" s="24" t="s">
        <v>186</v>
      </c>
      <c r="C14" s="44" t="s">
        <v>144</v>
      </c>
      <c r="D14" s="54" t="s">
        <v>11</v>
      </c>
      <c r="E14" s="20" t="s">
        <v>145</v>
      </c>
      <c r="F14" s="55"/>
      <c r="G14" s="58" t="s">
        <v>146</v>
      </c>
    </row>
    <row r="15" spans="1:7" x14ac:dyDescent="0.25">
      <c r="A15" s="62" t="s">
        <v>151</v>
      </c>
      <c r="B15" s="24" t="s">
        <v>186</v>
      </c>
      <c r="C15" s="44" t="s">
        <v>152</v>
      </c>
      <c r="D15" s="54"/>
      <c r="E15" s="20"/>
      <c r="F15" s="55"/>
      <c r="G15" s="58" t="s">
        <v>153</v>
      </c>
    </row>
    <row r="16" spans="1:7" x14ac:dyDescent="0.25">
      <c r="A16" s="62">
        <v>100</v>
      </c>
      <c r="B16" s="24" t="s">
        <v>184</v>
      </c>
      <c r="C16" s="44" t="s">
        <v>147</v>
      </c>
      <c r="D16" s="54" t="s">
        <v>1112</v>
      </c>
      <c r="E16" s="20" t="s">
        <v>1451</v>
      </c>
      <c r="F16" s="55" t="s">
        <v>279</v>
      </c>
      <c r="G16" s="44" t="s">
        <v>281</v>
      </c>
    </row>
    <row r="17" spans="1:7" x14ac:dyDescent="0.25">
      <c r="A17" s="62" t="s">
        <v>150</v>
      </c>
      <c r="B17" s="24" t="s">
        <v>185</v>
      </c>
      <c r="C17" s="44" t="s">
        <v>148</v>
      </c>
      <c r="D17" s="54" t="s">
        <v>1113</v>
      </c>
      <c r="E17" s="20" t="s">
        <v>1452</v>
      </c>
      <c r="F17" s="55" t="s">
        <v>280</v>
      </c>
      <c r="G17" s="44" t="s">
        <v>282</v>
      </c>
    </row>
    <row r="18" spans="1:7" x14ac:dyDescent="0.25">
      <c r="A18" s="62">
        <v>200</v>
      </c>
      <c r="B18" s="24" t="s">
        <v>198</v>
      </c>
      <c r="C18" s="44" t="s">
        <v>199</v>
      </c>
      <c r="D18" s="54" t="s">
        <v>88</v>
      </c>
      <c r="E18" s="20"/>
      <c r="F18" s="55"/>
      <c r="G18" s="44" t="s">
        <v>283</v>
      </c>
    </row>
    <row r="19" spans="1:7" x14ac:dyDescent="0.25">
      <c r="A19" s="62">
        <v>201</v>
      </c>
      <c r="B19" s="24" t="s">
        <v>198</v>
      </c>
      <c r="C19" s="44" t="s">
        <v>155</v>
      </c>
      <c r="D19" s="54" t="s">
        <v>18</v>
      </c>
      <c r="E19" s="20" t="s">
        <v>157</v>
      </c>
      <c r="F19" s="55"/>
      <c r="G19" s="44" t="s">
        <v>164</v>
      </c>
    </row>
    <row r="20" spans="1:7" ht="30" x14ac:dyDescent="0.25">
      <c r="A20" s="62">
        <v>202</v>
      </c>
      <c r="B20" s="24" t="s">
        <v>198</v>
      </c>
      <c r="C20" s="44" t="s">
        <v>156</v>
      </c>
      <c r="D20" s="54" t="s">
        <v>20</v>
      </c>
      <c r="E20" s="20" t="s">
        <v>158</v>
      </c>
      <c r="F20" s="55"/>
      <c r="G20" s="44" t="s">
        <v>165</v>
      </c>
    </row>
    <row r="21" spans="1:7" ht="30" x14ac:dyDescent="0.25">
      <c r="A21" s="62" t="s">
        <v>1136</v>
      </c>
      <c r="B21" s="24" t="s">
        <v>183</v>
      </c>
      <c r="C21" s="44" t="s">
        <v>159</v>
      </c>
      <c r="D21" s="54" t="s">
        <v>160</v>
      </c>
      <c r="E21" s="20" t="s">
        <v>162</v>
      </c>
      <c r="F21" s="55" t="s">
        <v>163</v>
      </c>
      <c r="G21" s="44" t="s">
        <v>166</v>
      </c>
    </row>
    <row r="22" spans="1:7" x14ac:dyDescent="0.25">
      <c r="A22" s="62">
        <v>301</v>
      </c>
      <c r="B22" s="24" t="s">
        <v>183</v>
      </c>
      <c r="C22" s="44" t="s">
        <v>1455</v>
      </c>
      <c r="D22" s="54" t="s">
        <v>167</v>
      </c>
      <c r="E22" s="20" t="s">
        <v>171</v>
      </c>
      <c r="F22" s="55"/>
      <c r="G22" s="44" t="s">
        <v>197</v>
      </c>
    </row>
    <row r="23" spans="1:7" x14ac:dyDescent="0.25">
      <c r="A23" s="62">
        <v>302</v>
      </c>
      <c r="B23" s="24" t="s">
        <v>183</v>
      </c>
      <c r="C23" s="44" t="s">
        <v>196</v>
      </c>
      <c r="D23" s="54" t="s">
        <v>23</v>
      </c>
      <c r="E23" s="20"/>
      <c r="F23" s="55" t="s">
        <v>23</v>
      </c>
      <c r="G23" s="44" t="s">
        <v>172</v>
      </c>
    </row>
    <row r="24" spans="1:7" ht="30" x14ac:dyDescent="0.25">
      <c r="A24" s="62">
        <v>303</v>
      </c>
      <c r="B24" s="24" t="s">
        <v>183</v>
      </c>
      <c r="C24" s="44" t="s">
        <v>204</v>
      </c>
      <c r="D24" s="54" t="s">
        <v>26</v>
      </c>
      <c r="E24" s="20"/>
      <c r="F24" s="55" t="s">
        <v>174</v>
      </c>
      <c r="G24" s="44" t="s">
        <v>173</v>
      </c>
    </row>
    <row r="25" spans="1:7" ht="30" x14ac:dyDescent="0.25">
      <c r="A25" s="62">
        <v>400</v>
      </c>
      <c r="B25" s="24" t="s">
        <v>182</v>
      </c>
      <c r="C25" s="44" t="s">
        <v>195</v>
      </c>
      <c r="D25" s="54" t="s">
        <v>175</v>
      </c>
      <c r="E25" s="20"/>
      <c r="F25" s="55" t="s">
        <v>176</v>
      </c>
      <c r="G25" s="44" t="s">
        <v>177</v>
      </c>
    </row>
    <row r="26" spans="1:7" x14ac:dyDescent="0.25">
      <c r="A26" s="62">
        <v>401</v>
      </c>
      <c r="B26" s="24" t="s">
        <v>182</v>
      </c>
      <c r="C26" s="44" t="s">
        <v>194</v>
      </c>
      <c r="D26" s="54" t="s">
        <v>32</v>
      </c>
      <c r="E26" s="20"/>
      <c r="F26" s="55" t="s">
        <v>32</v>
      </c>
      <c r="G26" s="44" t="s">
        <v>180</v>
      </c>
    </row>
    <row r="27" spans="1:7" x14ac:dyDescent="0.25">
      <c r="A27" s="62">
        <v>402</v>
      </c>
      <c r="B27" s="24" t="s">
        <v>182</v>
      </c>
      <c r="C27" s="44" t="s">
        <v>1455</v>
      </c>
      <c r="D27" s="54" t="s">
        <v>168</v>
      </c>
      <c r="E27" s="20" t="s">
        <v>200</v>
      </c>
      <c r="F27" s="55"/>
      <c r="G27" s="44" t="s">
        <v>201</v>
      </c>
    </row>
    <row r="28" spans="1:7" x14ac:dyDescent="0.25">
      <c r="A28" s="62">
        <v>403</v>
      </c>
      <c r="B28" s="24" t="s">
        <v>182</v>
      </c>
      <c r="C28" s="44" t="s">
        <v>196</v>
      </c>
      <c r="D28" s="54" t="s">
        <v>33</v>
      </c>
      <c r="E28" s="20"/>
      <c r="F28" s="55" t="s">
        <v>33</v>
      </c>
      <c r="G28" s="44" t="s">
        <v>202</v>
      </c>
    </row>
    <row r="29" spans="1:7" ht="30" x14ac:dyDescent="0.25">
      <c r="A29" s="62">
        <v>404</v>
      </c>
      <c r="B29" s="24" t="s">
        <v>182</v>
      </c>
      <c r="C29" s="44" t="s">
        <v>204</v>
      </c>
      <c r="D29" s="54" t="s">
        <v>35</v>
      </c>
      <c r="E29" s="20"/>
      <c r="F29" s="55" t="s">
        <v>203</v>
      </c>
      <c r="G29" s="44" t="s">
        <v>173</v>
      </c>
    </row>
    <row r="30" spans="1:7" x14ac:dyDescent="0.25">
      <c r="A30" s="62">
        <v>405</v>
      </c>
      <c r="B30" s="24" t="s">
        <v>182</v>
      </c>
      <c r="C30" s="44" t="s">
        <v>205</v>
      </c>
      <c r="D30" s="54" t="s">
        <v>206</v>
      </c>
      <c r="E30" s="20" t="s">
        <v>210</v>
      </c>
      <c r="F30" s="55" t="s">
        <v>211</v>
      </c>
      <c r="G30" s="44" t="s">
        <v>212</v>
      </c>
    </row>
    <row r="31" spans="1:7" ht="30" x14ac:dyDescent="0.25">
      <c r="A31" s="62">
        <v>406</v>
      </c>
      <c r="B31" s="24" t="s">
        <v>182</v>
      </c>
      <c r="C31" s="44" t="s">
        <v>213</v>
      </c>
      <c r="D31" s="54" t="s">
        <v>207</v>
      </c>
      <c r="E31" s="20" t="s">
        <v>214</v>
      </c>
      <c r="F31" s="55" t="s">
        <v>215</v>
      </c>
      <c r="G31" s="44" t="s">
        <v>212</v>
      </c>
    </row>
    <row r="32" spans="1:7" ht="30" x14ac:dyDescent="0.25">
      <c r="A32" s="62">
        <v>407</v>
      </c>
      <c r="B32" s="24" t="s">
        <v>182</v>
      </c>
      <c r="C32" s="44" t="s">
        <v>216</v>
      </c>
      <c r="D32" s="54" t="s">
        <v>208</v>
      </c>
      <c r="E32" s="20" t="s">
        <v>217</v>
      </c>
      <c r="F32" s="55" t="s">
        <v>218</v>
      </c>
      <c r="G32" s="44" t="s">
        <v>212</v>
      </c>
    </row>
    <row r="33" spans="1:7" ht="60" x14ac:dyDescent="0.25">
      <c r="A33" s="62">
        <v>408</v>
      </c>
      <c r="B33" s="24" t="s">
        <v>182</v>
      </c>
      <c r="C33" s="44" t="s">
        <v>219</v>
      </c>
      <c r="D33" s="54" t="s">
        <v>221</v>
      </c>
      <c r="E33" s="20" t="s">
        <v>220</v>
      </c>
      <c r="F33" s="55" t="s">
        <v>38</v>
      </c>
      <c r="G33" s="44" t="s">
        <v>262</v>
      </c>
    </row>
    <row r="34" spans="1:7" x14ac:dyDescent="0.25">
      <c r="A34" s="62">
        <v>409</v>
      </c>
      <c r="B34" s="24" t="s">
        <v>182</v>
      </c>
      <c r="C34" s="44" t="s">
        <v>222</v>
      </c>
      <c r="D34" s="54" t="s">
        <v>169</v>
      </c>
      <c r="E34" s="20" t="s">
        <v>233</v>
      </c>
      <c r="F34" s="55" t="s">
        <v>232</v>
      </c>
      <c r="G34" s="44" t="s">
        <v>225</v>
      </c>
    </row>
    <row r="35" spans="1:7" x14ac:dyDescent="0.25">
      <c r="A35" s="62">
        <v>410</v>
      </c>
      <c r="B35" s="24" t="s">
        <v>182</v>
      </c>
      <c r="C35" s="44" t="s">
        <v>223</v>
      </c>
      <c r="D35" s="54" t="s">
        <v>170</v>
      </c>
      <c r="E35" s="20" t="s">
        <v>234</v>
      </c>
      <c r="F35" s="55" t="s">
        <v>231</v>
      </c>
      <c r="G35" s="44" t="s">
        <v>225</v>
      </c>
    </row>
    <row r="36" spans="1:7" ht="30" x14ac:dyDescent="0.25">
      <c r="A36" s="62">
        <v>411</v>
      </c>
      <c r="B36" s="24" t="s">
        <v>182</v>
      </c>
      <c r="C36" s="44" t="s">
        <v>226</v>
      </c>
      <c r="D36" s="54" t="s">
        <v>227</v>
      </c>
      <c r="E36" s="20" t="s">
        <v>230</v>
      </c>
      <c r="F36" s="55" t="s">
        <v>229</v>
      </c>
      <c r="G36" s="44" t="s">
        <v>228</v>
      </c>
    </row>
    <row r="37" spans="1:7" x14ac:dyDescent="0.25">
      <c r="A37" s="62">
        <v>412</v>
      </c>
      <c r="B37" s="24" t="s">
        <v>182</v>
      </c>
      <c r="C37" s="44" t="s">
        <v>235</v>
      </c>
      <c r="D37" s="54"/>
      <c r="E37" s="20" t="s">
        <v>236</v>
      </c>
      <c r="F37" s="55" t="s">
        <v>42</v>
      </c>
      <c r="G37" s="44" t="s">
        <v>237</v>
      </c>
    </row>
    <row r="38" spans="1:7" x14ac:dyDescent="0.25">
      <c r="A38" s="62">
        <v>413</v>
      </c>
      <c r="B38" s="24" t="s">
        <v>182</v>
      </c>
      <c r="C38" s="44" t="s">
        <v>239</v>
      </c>
      <c r="D38" s="54" t="s">
        <v>43</v>
      </c>
      <c r="E38" s="20"/>
      <c r="F38" s="55" t="s">
        <v>43</v>
      </c>
      <c r="G38" s="44" t="s">
        <v>238</v>
      </c>
    </row>
    <row r="39" spans="1:7" x14ac:dyDescent="0.25">
      <c r="A39" s="62">
        <v>414</v>
      </c>
      <c r="B39" s="24" t="s">
        <v>182</v>
      </c>
      <c r="C39" s="44" t="s">
        <v>240</v>
      </c>
      <c r="D39" s="54" t="s">
        <v>44</v>
      </c>
      <c r="E39" s="20"/>
      <c r="F39" s="55"/>
      <c r="G39" s="44" t="s">
        <v>284</v>
      </c>
    </row>
    <row r="40" spans="1:7" ht="45" x14ac:dyDescent="0.25">
      <c r="A40" s="62">
        <v>415</v>
      </c>
      <c r="B40" s="24" t="s">
        <v>182</v>
      </c>
      <c r="C40" s="44" t="s">
        <v>241</v>
      </c>
      <c r="D40" s="54"/>
      <c r="E40" s="20" t="s">
        <v>243</v>
      </c>
      <c r="F40" s="55" t="s">
        <v>47</v>
      </c>
      <c r="G40" s="44" t="s">
        <v>248</v>
      </c>
    </row>
    <row r="41" spans="1:7" ht="45" x14ac:dyDescent="0.25">
      <c r="A41" s="62">
        <v>416</v>
      </c>
      <c r="B41" s="24" t="s">
        <v>182</v>
      </c>
      <c r="C41" s="44" t="s">
        <v>242</v>
      </c>
      <c r="D41" s="54"/>
      <c r="E41" s="20" t="s">
        <v>244</v>
      </c>
      <c r="F41" s="55" t="s">
        <v>48</v>
      </c>
      <c r="G41" s="44" t="s">
        <v>249</v>
      </c>
    </row>
    <row r="42" spans="1:7" x14ac:dyDescent="0.25">
      <c r="A42" s="62">
        <v>417</v>
      </c>
      <c r="B42" s="24" t="s">
        <v>182</v>
      </c>
      <c r="C42" s="44" t="s">
        <v>250</v>
      </c>
      <c r="D42" s="54" t="s">
        <v>49</v>
      </c>
      <c r="E42" s="20"/>
      <c r="F42" s="55" t="s">
        <v>49</v>
      </c>
      <c r="G42" s="44" t="s">
        <v>253</v>
      </c>
    </row>
    <row r="43" spans="1:7" x14ac:dyDescent="0.25">
      <c r="A43" s="62">
        <v>418</v>
      </c>
      <c r="B43" s="24" t="s">
        <v>182</v>
      </c>
      <c r="C43" s="44" t="s">
        <v>251</v>
      </c>
      <c r="D43" s="54" t="s">
        <v>51</v>
      </c>
      <c r="E43" s="20"/>
      <c r="F43" s="55" t="s">
        <v>51</v>
      </c>
      <c r="G43" s="44" t="s">
        <v>252</v>
      </c>
    </row>
    <row r="44" spans="1:7" ht="30" x14ac:dyDescent="0.25">
      <c r="A44" s="62">
        <v>500</v>
      </c>
      <c r="B44" s="24" t="s">
        <v>187</v>
      </c>
      <c r="C44" s="44" t="s">
        <v>195</v>
      </c>
      <c r="D44" s="54" t="s">
        <v>178</v>
      </c>
      <c r="E44" s="20"/>
      <c r="F44" s="55" t="s">
        <v>179</v>
      </c>
      <c r="G44" s="44" t="s">
        <v>177</v>
      </c>
    </row>
    <row r="45" spans="1:7" x14ac:dyDescent="0.25">
      <c r="A45" s="62">
        <v>501</v>
      </c>
      <c r="B45" s="24" t="s">
        <v>187</v>
      </c>
      <c r="C45" s="44" t="s">
        <v>194</v>
      </c>
      <c r="D45" s="54" t="s">
        <v>52</v>
      </c>
      <c r="E45" s="20"/>
      <c r="F45" s="55" t="s">
        <v>52</v>
      </c>
      <c r="G45" s="44" t="s">
        <v>180</v>
      </c>
    </row>
    <row r="46" spans="1:7" x14ac:dyDescent="0.25">
      <c r="A46" s="62">
        <v>502</v>
      </c>
      <c r="B46" s="24" t="s">
        <v>187</v>
      </c>
      <c r="C46" s="44" t="s">
        <v>1455</v>
      </c>
      <c r="D46" s="54" t="s">
        <v>224</v>
      </c>
      <c r="E46" s="20" t="s">
        <v>254</v>
      </c>
      <c r="F46" s="55"/>
      <c r="G46" s="44" t="s">
        <v>201</v>
      </c>
    </row>
    <row r="47" spans="1:7" x14ac:dyDescent="0.25">
      <c r="A47" s="62">
        <v>503</v>
      </c>
      <c r="B47" s="24" t="s">
        <v>187</v>
      </c>
      <c r="C47" s="44" t="s">
        <v>196</v>
      </c>
      <c r="D47" s="54" t="s">
        <v>53</v>
      </c>
      <c r="E47" s="20"/>
      <c r="F47" s="55" t="s">
        <v>53</v>
      </c>
      <c r="G47" s="44" t="s">
        <v>202</v>
      </c>
    </row>
    <row r="48" spans="1:7" ht="30" x14ac:dyDescent="0.25">
      <c r="A48" s="62">
        <v>504</v>
      </c>
      <c r="B48" s="24" t="s">
        <v>187</v>
      </c>
      <c r="C48" s="44" t="s">
        <v>204</v>
      </c>
      <c r="D48" s="54" t="s">
        <v>54</v>
      </c>
      <c r="E48" s="20"/>
      <c r="F48" s="55" t="s">
        <v>255</v>
      </c>
      <c r="G48" s="44" t="s">
        <v>173</v>
      </c>
    </row>
    <row r="49" spans="1:7" x14ac:dyDescent="0.25">
      <c r="A49" s="62">
        <v>505</v>
      </c>
      <c r="B49" s="24" t="s">
        <v>187</v>
      </c>
      <c r="C49" s="44" t="s">
        <v>205</v>
      </c>
      <c r="D49" s="54" t="s">
        <v>209</v>
      </c>
      <c r="E49" s="20" t="s">
        <v>245</v>
      </c>
      <c r="F49" s="55" t="s">
        <v>256</v>
      </c>
      <c r="G49" s="44" t="s">
        <v>212</v>
      </c>
    </row>
    <row r="50" spans="1:7" ht="30" x14ac:dyDescent="0.25">
      <c r="A50" s="62">
        <v>506</v>
      </c>
      <c r="B50" s="24" t="s">
        <v>187</v>
      </c>
      <c r="C50" s="44" t="s">
        <v>213</v>
      </c>
      <c r="D50" s="54" t="s">
        <v>258</v>
      </c>
      <c r="E50" s="20" t="s">
        <v>246</v>
      </c>
      <c r="F50" s="55" t="s">
        <v>257</v>
      </c>
      <c r="G50" s="44" t="s">
        <v>212</v>
      </c>
    </row>
    <row r="51" spans="1:7" ht="30" x14ac:dyDescent="0.25">
      <c r="A51" s="62">
        <v>507</v>
      </c>
      <c r="B51" s="24" t="s">
        <v>187</v>
      </c>
      <c r="C51" s="44" t="s">
        <v>216</v>
      </c>
      <c r="D51" s="54" t="s">
        <v>259</v>
      </c>
      <c r="E51" s="20" t="s">
        <v>247</v>
      </c>
      <c r="F51" s="55" t="s">
        <v>260</v>
      </c>
      <c r="G51" s="44" t="s">
        <v>212</v>
      </c>
    </row>
    <row r="52" spans="1:7" ht="60" x14ac:dyDescent="0.25">
      <c r="A52" s="62">
        <v>508</v>
      </c>
      <c r="B52" s="24" t="s">
        <v>187</v>
      </c>
      <c r="C52" s="44" t="s">
        <v>219</v>
      </c>
      <c r="D52" s="54" t="s">
        <v>263</v>
      </c>
      <c r="E52" s="20" t="s">
        <v>261</v>
      </c>
      <c r="F52" s="55" t="s">
        <v>55</v>
      </c>
      <c r="G52" s="44" t="s">
        <v>262</v>
      </c>
    </row>
    <row r="53" spans="1:7" x14ac:dyDescent="0.25">
      <c r="A53" s="62">
        <v>509</v>
      </c>
      <c r="B53" s="24" t="s">
        <v>187</v>
      </c>
      <c r="C53" s="44" t="s">
        <v>222</v>
      </c>
      <c r="D53" s="54" t="s">
        <v>264</v>
      </c>
      <c r="E53" s="20" t="s">
        <v>265</v>
      </c>
      <c r="F53" s="55" t="s">
        <v>266</v>
      </c>
      <c r="G53" s="44" t="s">
        <v>225</v>
      </c>
    </row>
    <row r="54" spans="1:7" x14ac:dyDescent="0.25">
      <c r="A54" s="62">
        <v>510</v>
      </c>
      <c r="B54" s="24" t="s">
        <v>187</v>
      </c>
      <c r="C54" s="44" t="s">
        <v>223</v>
      </c>
      <c r="D54" s="54" t="s">
        <v>269</v>
      </c>
      <c r="E54" s="20" t="s">
        <v>268</v>
      </c>
      <c r="F54" s="55" t="s">
        <v>267</v>
      </c>
      <c r="G54" s="44" t="s">
        <v>225</v>
      </c>
    </row>
    <row r="55" spans="1:7" ht="30" x14ac:dyDescent="0.25">
      <c r="A55" s="62">
        <v>511</v>
      </c>
      <c r="B55" s="24" t="s">
        <v>187</v>
      </c>
      <c r="C55" s="44" t="s">
        <v>226</v>
      </c>
      <c r="D55" s="54" t="s">
        <v>270</v>
      </c>
      <c r="E55" s="20" t="s">
        <v>271</v>
      </c>
      <c r="F55" s="55" t="s">
        <v>272</v>
      </c>
      <c r="G55" s="44" t="s">
        <v>273</v>
      </c>
    </row>
    <row r="56" spans="1:7" x14ac:dyDescent="0.25">
      <c r="A56" s="62">
        <v>512</v>
      </c>
      <c r="B56" s="24" t="s">
        <v>187</v>
      </c>
      <c r="C56" s="44" t="s">
        <v>235</v>
      </c>
      <c r="D56" s="54"/>
      <c r="E56" s="20" t="s">
        <v>274</v>
      </c>
      <c r="F56" s="55" t="s">
        <v>56</v>
      </c>
      <c r="G56" s="44" t="s">
        <v>237</v>
      </c>
    </row>
    <row r="57" spans="1:7" x14ac:dyDescent="0.25">
      <c r="A57" s="62">
        <v>513</v>
      </c>
      <c r="B57" s="24" t="s">
        <v>187</v>
      </c>
      <c r="C57" s="44" t="s">
        <v>239</v>
      </c>
      <c r="D57" s="54" t="s">
        <v>57</v>
      </c>
      <c r="E57" s="20"/>
      <c r="F57" s="55" t="s">
        <v>57</v>
      </c>
      <c r="G57" s="44" t="s">
        <v>238</v>
      </c>
    </row>
    <row r="58" spans="1:7" x14ac:dyDescent="0.25">
      <c r="A58" s="62">
        <v>514</v>
      </c>
      <c r="B58" s="24" t="s">
        <v>187</v>
      </c>
      <c r="C58" s="44" t="s">
        <v>240</v>
      </c>
      <c r="D58" s="54" t="s">
        <v>58</v>
      </c>
      <c r="E58" s="20"/>
      <c r="F58" s="55"/>
      <c r="G58" s="44" t="s">
        <v>284</v>
      </c>
    </row>
    <row r="59" spans="1:7" ht="45" x14ac:dyDescent="0.25">
      <c r="A59" s="62">
        <v>515</v>
      </c>
      <c r="B59" s="24" t="s">
        <v>187</v>
      </c>
      <c r="C59" s="44" t="s">
        <v>241</v>
      </c>
      <c r="D59" s="54"/>
      <c r="E59" s="20" t="s">
        <v>275</v>
      </c>
      <c r="F59" s="55" t="s">
        <v>59</v>
      </c>
      <c r="G59" s="44" t="s">
        <v>278</v>
      </c>
    </row>
    <row r="60" spans="1:7" ht="45" x14ac:dyDescent="0.25">
      <c r="A60" s="62">
        <v>516</v>
      </c>
      <c r="B60" s="24" t="s">
        <v>187</v>
      </c>
      <c r="C60" s="44" t="s">
        <v>242</v>
      </c>
      <c r="D60" s="54"/>
      <c r="E60" s="20" t="s">
        <v>276</v>
      </c>
      <c r="F60" s="55" t="s">
        <v>60</v>
      </c>
      <c r="G60" s="44" t="s">
        <v>277</v>
      </c>
    </row>
    <row r="61" spans="1:7" x14ac:dyDescent="0.25">
      <c r="A61" s="62">
        <v>517</v>
      </c>
      <c r="B61" s="24" t="s">
        <v>187</v>
      </c>
      <c r="C61" s="44" t="s">
        <v>250</v>
      </c>
      <c r="D61" s="54" t="s">
        <v>61</v>
      </c>
      <c r="E61" s="20"/>
      <c r="F61" s="55" t="s">
        <v>61</v>
      </c>
      <c r="G61" s="44" t="s">
        <v>253</v>
      </c>
    </row>
    <row r="62" spans="1:7" x14ac:dyDescent="0.25">
      <c r="A62" s="62">
        <v>518</v>
      </c>
      <c r="B62" s="24" t="s">
        <v>187</v>
      </c>
      <c r="C62" s="44" t="s">
        <v>251</v>
      </c>
      <c r="D62" s="54" t="s">
        <v>62</v>
      </c>
      <c r="E62" s="20"/>
      <c r="F62" s="55" t="s">
        <v>62</v>
      </c>
      <c r="G62" s="44" t="s">
        <v>252</v>
      </c>
    </row>
    <row r="63" spans="1:7" x14ac:dyDescent="0.25">
      <c r="A63" s="62">
        <v>600</v>
      </c>
      <c r="B63" s="24" t="s">
        <v>189</v>
      </c>
      <c r="C63" s="44" t="s">
        <v>313</v>
      </c>
      <c r="D63" s="54" t="s">
        <v>63</v>
      </c>
      <c r="E63" s="20"/>
      <c r="F63" s="55" t="s">
        <v>63</v>
      </c>
      <c r="G63" s="44" t="s">
        <v>285</v>
      </c>
    </row>
    <row r="64" spans="1:7" x14ac:dyDescent="0.25">
      <c r="A64" s="62">
        <v>601</v>
      </c>
      <c r="B64" s="24" t="s">
        <v>189</v>
      </c>
      <c r="C64" s="44" t="s">
        <v>286</v>
      </c>
      <c r="D64" s="54" t="s">
        <v>287</v>
      </c>
      <c r="E64" s="20" t="s">
        <v>289</v>
      </c>
      <c r="F64" s="55"/>
      <c r="G64" s="44" t="s">
        <v>290</v>
      </c>
    </row>
    <row r="65" spans="1:7" x14ac:dyDescent="0.25">
      <c r="A65" s="62">
        <v>610</v>
      </c>
      <c r="B65" s="24" t="s">
        <v>188</v>
      </c>
      <c r="C65" s="44" t="s">
        <v>299</v>
      </c>
      <c r="D65" s="54"/>
      <c r="E65" s="20" t="s">
        <v>291</v>
      </c>
      <c r="F65" s="55" t="s">
        <v>65</v>
      </c>
      <c r="G65" s="44" t="s">
        <v>301</v>
      </c>
    </row>
    <row r="66" spans="1:7" x14ac:dyDescent="0.25">
      <c r="A66" s="62">
        <v>611</v>
      </c>
      <c r="B66" s="24" t="s">
        <v>188</v>
      </c>
      <c r="C66" s="44" t="s">
        <v>302</v>
      </c>
      <c r="D66" s="54" t="s">
        <v>66</v>
      </c>
      <c r="E66" s="20" t="s">
        <v>292</v>
      </c>
      <c r="F66" s="55"/>
      <c r="G66" s="44" t="s">
        <v>306</v>
      </c>
    </row>
    <row r="67" spans="1:7" x14ac:dyDescent="0.25">
      <c r="A67" s="62">
        <v>612</v>
      </c>
      <c r="B67" s="24" t="s">
        <v>188</v>
      </c>
      <c r="C67" s="44" t="s">
        <v>303</v>
      </c>
      <c r="D67" s="54" t="s">
        <v>66</v>
      </c>
      <c r="E67" s="20" t="s">
        <v>293</v>
      </c>
      <c r="F67" s="55"/>
      <c r="G67" s="44" t="s">
        <v>305</v>
      </c>
    </row>
    <row r="68" spans="1:7" x14ac:dyDescent="0.25">
      <c r="A68" s="62">
        <v>620</v>
      </c>
      <c r="B68" s="24" t="s">
        <v>190</v>
      </c>
      <c r="C68" s="44" t="s">
        <v>299</v>
      </c>
      <c r="D68" s="54"/>
      <c r="E68" s="20" t="s">
        <v>294</v>
      </c>
      <c r="F68" s="55" t="s">
        <v>68</v>
      </c>
      <c r="G68" s="44" t="s">
        <v>307</v>
      </c>
    </row>
    <row r="69" spans="1:7" x14ac:dyDescent="0.25">
      <c r="A69" s="62">
        <v>621</v>
      </c>
      <c r="B69" s="24" t="s">
        <v>190</v>
      </c>
      <c r="C69" s="44" t="s">
        <v>311</v>
      </c>
      <c r="D69" s="54" t="s">
        <v>69</v>
      </c>
      <c r="E69" s="20"/>
      <c r="F69" s="55" t="s">
        <v>69</v>
      </c>
      <c r="G69" s="44" t="s">
        <v>308</v>
      </c>
    </row>
    <row r="70" spans="1:7" x14ac:dyDescent="0.25">
      <c r="A70" s="62">
        <v>622</v>
      </c>
      <c r="B70" s="24" t="s">
        <v>190</v>
      </c>
      <c r="C70" s="44" t="s">
        <v>312</v>
      </c>
      <c r="D70" s="54" t="s">
        <v>288</v>
      </c>
      <c r="E70" s="20" t="s">
        <v>310</v>
      </c>
      <c r="F70" s="55"/>
      <c r="G70" s="44" t="s">
        <v>309</v>
      </c>
    </row>
    <row r="71" spans="1:7" x14ac:dyDescent="0.25">
      <c r="A71" s="62">
        <v>623</v>
      </c>
      <c r="B71" s="24" t="s">
        <v>190</v>
      </c>
      <c r="C71" s="44" t="s">
        <v>303</v>
      </c>
      <c r="D71" s="54" t="s">
        <v>70</v>
      </c>
      <c r="E71" s="20" t="s">
        <v>295</v>
      </c>
      <c r="F71" s="55"/>
      <c r="G71" s="44" t="s">
        <v>304</v>
      </c>
    </row>
    <row r="72" spans="1:7" x14ac:dyDescent="0.25">
      <c r="A72" s="62">
        <v>630</v>
      </c>
      <c r="B72" s="24" t="s">
        <v>191</v>
      </c>
      <c r="C72" s="44" t="s">
        <v>299</v>
      </c>
      <c r="D72" s="54"/>
      <c r="E72" s="20" t="s">
        <v>296</v>
      </c>
      <c r="F72" s="55" t="s">
        <v>71</v>
      </c>
      <c r="G72" s="44" t="s">
        <v>301</v>
      </c>
    </row>
    <row r="73" spans="1:7" x14ac:dyDescent="0.25">
      <c r="A73" s="62">
        <v>631</v>
      </c>
      <c r="B73" s="24" t="s">
        <v>191</v>
      </c>
      <c r="C73" s="44" t="s">
        <v>302</v>
      </c>
      <c r="D73" s="54" t="s">
        <v>72</v>
      </c>
      <c r="E73" s="20" t="s">
        <v>297</v>
      </c>
      <c r="F73" s="55"/>
      <c r="G73" s="44" t="s">
        <v>306</v>
      </c>
    </row>
    <row r="74" spans="1:7" x14ac:dyDescent="0.25">
      <c r="A74" s="62">
        <v>632</v>
      </c>
      <c r="B74" s="24" t="s">
        <v>191</v>
      </c>
      <c r="C74" s="44" t="s">
        <v>303</v>
      </c>
      <c r="D74" s="54" t="s">
        <v>72</v>
      </c>
      <c r="E74" s="20" t="s">
        <v>298</v>
      </c>
      <c r="F74" s="55"/>
      <c r="G74" s="44" t="s">
        <v>305</v>
      </c>
    </row>
    <row r="75" spans="1:7" x14ac:dyDescent="0.25">
      <c r="A75" s="62">
        <v>640</v>
      </c>
      <c r="B75" s="24" t="s">
        <v>192</v>
      </c>
      <c r="C75" s="44" t="s">
        <v>299</v>
      </c>
      <c r="D75" s="54"/>
      <c r="E75" s="20" t="s">
        <v>300</v>
      </c>
      <c r="F75" s="55" t="s">
        <v>73</v>
      </c>
      <c r="G75" s="44" t="s">
        <v>307</v>
      </c>
    </row>
    <row r="76" spans="1:7" x14ac:dyDescent="0.25">
      <c r="A76" s="62">
        <v>641</v>
      </c>
      <c r="B76" s="24" t="s">
        <v>192</v>
      </c>
      <c r="C76" s="44" t="s">
        <v>311</v>
      </c>
      <c r="D76" s="54" t="s">
        <v>74</v>
      </c>
      <c r="E76" s="20"/>
      <c r="F76" s="55" t="s">
        <v>74</v>
      </c>
      <c r="G76" s="44" t="s">
        <v>308</v>
      </c>
    </row>
    <row r="77" spans="1:7" x14ac:dyDescent="0.25">
      <c r="A77" s="62">
        <v>642</v>
      </c>
      <c r="B77" s="24" t="s">
        <v>192</v>
      </c>
      <c r="C77" s="44" t="s">
        <v>312</v>
      </c>
      <c r="D77" s="54" t="s">
        <v>314</v>
      </c>
      <c r="E77" s="20" t="s">
        <v>315</v>
      </c>
      <c r="F77" s="55"/>
      <c r="G77" s="44" t="s">
        <v>309</v>
      </c>
    </row>
    <row r="78" spans="1:7" x14ac:dyDescent="0.25">
      <c r="A78" s="62">
        <v>643</v>
      </c>
      <c r="B78" s="24" t="s">
        <v>192</v>
      </c>
      <c r="C78" s="44" t="s">
        <v>303</v>
      </c>
      <c r="D78" s="54" t="s">
        <v>75</v>
      </c>
      <c r="E78" s="20" t="s">
        <v>316</v>
      </c>
      <c r="F78" s="55"/>
      <c r="G78" s="44" t="s">
        <v>304</v>
      </c>
    </row>
    <row r="79" spans="1:7" x14ac:dyDescent="0.25">
      <c r="A79" s="62">
        <v>700</v>
      </c>
      <c r="B79" s="24" t="s">
        <v>193</v>
      </c>
      <c r="C79" s="44" t="s">
        <v>317</v>
      </c>
      <c r="D79" s="54" t="s">
        <v>76</v>
      </c>
      <c r="E79" s="20" t="s">
        <v>318</v>
      </c>
      <c r="F79" s="55"/>
      <c r="G79" s="44"/>
    </row>
    <row r="80" spans="1:7" x14ac:dyDescent="0.25">
      <c r="A80" s="62">
        <v>701</v>
      </c>
      <c r="B80" s="24" t="s">
        <v>193</v>
      </c>
      <c r="C80" s="44" t="s">
        <v>323</v>
      </c>
      <c r="D80" s="54" t="s">
        <v>77</v>
      </c>
      <c r="E80" s="20" t="s">
        <v>319</v>
      </c>
      <c r="F80" s="55"/>
      <c r="G80" s="44"/>
    </row>
    <row r="81" spans="1:7" x14ac:dyDescent="0.25">
      <c r="A81" s="62">
        <v>702</v>
      </c>
      <c r="B81" s="24" t="s">
        <v>193</v>
      </c>
      <c r="C81" s="44" t="s">
        <v>325</v>
      </c>
      <c r="D81" s="54" t="s">
        <v>78</v>
      </c>
      <c r="E81" s="20" t="s">
        <v>327</v>
      </c>
      <c r="F81" s="55"/>
      <c r="G81" s="44"/>
    </row>
    <row r="82" spans="1:7" x14ac:dyDescent="0.25">
      <c r="A82" s="62">
        <v>703</v>
      </c>
      <c r="B82" s="24" t="s">
        <v>193</v>
      </c>
      <c r="C82" s="44" t="s">
        <v>326</v>
      </c>
      <c r="D82" s="54" t="s">
        <v>80</v>
      </c>
      <c r="E82" s="20" t="s">
        <v>328</v>
      </c>
      <c r="F82" s="55"/>
      <c r="G82" s="44"/>
    </row>
    <row r="83" spans="1:7" x14ac:dyDescent="0.25">
      <c r="A83" s="62">
        <v>704</v>
      </c>
      <c r="B83" s="24" t="s">
        <v>193</v>
      </c>
      <c r="C83" s="44" t="s">
        <v>324</v>
      </c>
      <c r="D83" s="54" t="s">
        <v>81</v>
      </c>
      <c r="E83" s="20" t="s">
        <v>320</v>
      </c>
      <c r="F83" s="55"/>
      <c r="G83" s="44"/>
    </row>
    <row r="84" spans="1:7" ht="15.75" thickBot="1" x14ac:dyDescent="0.3">
      <c r="A84" s="62">
        <v>705</v>
      </c>
      <c r="B84" s="24" t="s">
        <v>193</v>
      </c>
      <c r="C84" s="44" t="s">
        <v>322</v>
      </c>
      <c r="D84" s="63" t="s">
        <v>82</v>
      </c>
      <c r="E84" s="64" t="s">
        <v>321</v>
      </c>
      <c r="F84" s="65"/>
      <c r="G84" s="44"/>
    </row>
  </sheetData>
  <sheetProtection formatColumns="0" formatRows="0" insertRows="0" sort="0" autoFilter="0"/>
  <mergeCells count="12">
    <mergeCell ref="A9:G9"/>
    <mergeCell ref="A5:B5"/>
    <mergeCell ref="C5:D5"/>
    <mergeCell ref="A6:B6"/>
    <mergeCell ref="C6:D6"/>
    <mergeCell ref="A4:B4"/>
    <mergeCell ref="C4:D4"/>
    <mergeCell ref="A1:D1"/>
    <mergeCell ref="A2:B2"/>
    <mergeCell ref="C2:D2"/>
    <mergeCell ref="A3:B3"/>
    <mergeCell ref="C3:D3"/>
  </mergeCells>
  <phoneticPr fontId="5" type="noConversion"/>
  <pageMargins left="0.25" right="0.125" top="0.25" bottom="0.25" header="0" footer="0"/>
  <pageSetup paperSize="3" scale="74"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7947D-BF3B-4500-AF2E-BF4C2E9AF555}">
  <sheetPr codeName="Sheet4"/>
  <dimension ref="A1:Q36"/>
  <sheetViews>
    <sheetView zoomScale="70" zoomScaleNormal="70" workbookViewId="0">
      <selection activeCell="F41" sqref="F41"/>
    </sheetView>
  </sheetViews>
  <sheetFormatPr defaultRowHeight="15" x14ac:dyDescent="0.25"/>
  <cols>
    <col min="1" max="1" width="10.85546875" style="1" customWidth="1"/>
    <col min="2" max="2" width="8" style="1" customWidth="1"/>
    <col min="3" max="3" width="19.28515625" style="1" customWidth="1"/>
    <col min="4" max="4" width="27.42578125" style="1" customWidth="1"/>
    <col min="5" max="5" width="61.140625" style="1" customWidth="1"/>
    <col min="6" max="6" width="17.85546875" style="1" customWidth="1"/>
    <col min="7" max="7" width="17.140625" style="1" customWidth="1"/>
    <col min="8" max="8" width="17.42578125" style="1" customWidth="1"/>
    <col min="9" max="9" width="17.7109375" style="1" customWidth="1"/>
    <col min="10" max="10" width="14.42578125" style="1" customWidth="1"/>
    <col min="11" max="11" width="14.28515625" style="1" customWidth="1"/>
    <col min="12" max="12" width="12.140625" style="1" customWidth="1"/>
    <col min="13" max="13" width="14.7109375" style="1" customWidth="1"/>
    <col min="14" max="14" width="8.5703125" style="1" customWidth="1"/>
    <col min="15" max="16384" width="9.140625" style="1"/>
  </cols>
  <sheetData>
    <row r="1" spans="1:17" ht="15.75" thickBot="1" x14ac:dyDescent="0.3">
      <c r="A1" s="81" t="s">
        <v>344</v>
      </c>
      <c r="B1" s="82"/>
      <c r="C1" s="82"/>
      <c r="D1" s="83"/>
    </row>
    <row r="2" spans="1:17" x14ac:dyDescent="0.25">
      <c r="A2" s="77" t="s">
        <v>345</v>
      </c>
      <c r="B2" s="84"/>
      <c r="C2" s="89">
        <f>Proj_Number</f>
        <v>20570</v>
      </c>
      <c r="D2" s="90"/>
      <c r="E2" s="29"/>
    </row>
    <row r="3" spans="1:17" x14ac:dyDescent="0.25">
      <c r="A3" s="77" t="s">
        <v>346</v>
      </c>
      <c r="B3" s="84"/>
      <c r="C3" s="85" t="str">
        <f>Proj_Customer</f>
        <v>Company</v>
      </c>
      <c r="D3" s="86"/>
    </row>
    <row r="4" spans="1:17" x14ac:dyDescent="0.25">
      <c r="A4" s="77" t="s">
        <v>347</v>
      </c>
      <c r="B4" s="84"/>
      <c r="C4" s="85" t="str">
        <f>Proj_Name</f>
        <v>600HP Face Reversing 4H Rolling Mill</v>
      </c>
      <c r="D4" s="86"/>
    </row>
    <row r="5" spans="1:17" x14ac:dyDescent="0.25">
      <c r="A5" s="77" t="s">
        <v>348</v>
      </c>
      <c r="B5" s="84"/>
      <c r="C5" s="85" t="str">
        <f>Proj_Specifications</f>
        <v>480VAC/60Hz/3P(Δ), 1200 AMP</v>
      </c>
      <c r="D5" s="86"/>
    </row>
    <row r="6" spans="1:17" ht="15.75" thickBot="1" x14ac:dyDescent="0.3">
      <c r="A6" s="79" t="s">
        <v>349</v>
      </c>
      <c r="B6" s="80"/>
      <c r="C6" s="87">
        <f>Last_Synced</f>
        <v>46073.355636574073</v>
      </c>
      <c r="D6" s="88"/>
    </row>
    <row r="7" spans="1:17" x14ac:dyDescent="0.25">
      <c r="A7" s="30"/>
      <c r="B7" s="30"/>
      <c r="C7" s="31"/>
      <c r="D7" s="31"/>
    </row>
    <row r="8" spans="1:17" x14ac:dyDescent="0.25">
      <c r="A8" s="30"/>
      <c r="B8" s="30"/>
      <c r="C8" s="31"/>
      <c r="D8" s="31"/>
    </row>
    <row r="9" spans="1:17" ht="50.25" customHeight="1" thickBot="1" x14ac:dyDescent="0.3">
      <c r="A9" s="112" t="str">
        <f>"Your Company" &amp; CHAR(10) &amp; Proj_Number &amp; " - " &amp; Proj_Customer &amp; " - " &amp; Proj_Name &amp; CHAR(10) &amp; "Utility Load Table"</f>
        <v>Your Company
20570 - Company - 600HP Face Reversing 4H Rolling Mill
Utility Load Table</v>
      </c>
      <c r="B9" s="113"/>
      <c r="C9" s="113"/>
      <c r="D9" s="113"/>
      <c r="E9" s="113"/>
      <c r="F9" s="113"/>
      <c r="G9" s="113"/>
      <c r="H9" s="113"/>
      <c r="I9" s="113"/>
      <c r="J9" s="113"/>
      <c r="K9" s="113"/>
      <c r="L9" s="113"/>
      <c r="M9" s="113"/>
      <c r="N9" s="113"/>
      <c r="O9" s="113"/>
      <c r="P9" s="113"/>
      <c r="Q9" s="113"/>
    </row>
    <row r="10" spans="1:17" ht="42" customHeight="1" thickBot="1" x14ac:dyDescent="0.3">
      <c r="A10" s="81" t="s">
        <v>121</v>
      </c>
      <c r="B10" s="82"/>
      <c r="C10" s="82"/>
      <c r="D10" s="82"/>
      <c r="E10" s="82"/>
      <c r="F10" s="82"/>
      <c r="G10" s="82"/>
      <c r="H10" s="82"/>
      <c r="I10" s="83"/>
      <c r="J10" s="81" t="s">
        <v>122</v>
      </c>
      <c r="K10" s="82"/>
      <c r="L10" s="82"/>
      <c r="M10" s="82"/>
      <c r="N10" s="83"/>
      <c r="O10" s="82" t="s">
        <v>123</v>
      </c>
      <c r="P10" s="83"/>
      <c r="Q10" s="68"/>
    </row>
    <row r="11" spans="1:17" ht="45" x14ac:dyDescent="0.25">
      <c r="A11" s="1" t="s">
        <v>330</v>
      </c>
      <c r="B11" s="1" t="s">
        <v>332</v>
      </c>
      <c r="C11" s="1" t="s">
        <v>0</v>
      </c>
      <c r="D11" s="1" t="s">
        <v>1</v>
      </c>
      <c r="E11" s="1" t="s">
        <v>396</v>
      </c>
      <c r="F11" s="1" t="s">
        <v>340</v>
      </c>
      <c r="G11" s="1" t="s">
        <v>334</v>
      </c>
      <c r="H11" s="1" t="s">
        <v>341</v>
      </c>
      <c r="I11" s="1" t="s">
        <v>342</v>
      </c>
      <c r="J11" s="1" t="s">
        <v>114</v>
      </c>
      <c r="K11" s="1" t="s">
        <v>115</v>
      </c>
      <c r="L11" s="1" t="s">
        <v>116</v>
      </c>
      <c r="M11" s="1" t="s">
        <v>109</v>
      </c>
      <c r="N11" s="1" t="s">
        <v>129</v>
      </c>
      <c r="O11" s="1" t="s">
        <v>111</v>
      </c>
      <c r="P11" s="1" t="s">
        <v>118</v>
      </c>
      <c r="Q11" s="1" t="s">
        <v>117</v>
      </c>
    </row>
    <row r="12" spans="1:17" x14ac:dyDescent="0.25">
      <c r="A12" s="141">
        <v>45</v>
      </c>
      <c r="B12" s="141">
        <v>1</v>
      </c>
      <c r="C12" s="142" t="s">
        <v>137</v>
      </c>
      <c r="D12" s="142">
        <v>2910386</v>
      </c>
      <c r="E12" s="44" t="s">
        <v>812</v>
      </c>
      <c r="F12" s="142"/>
      <c r="G12" s="20"/>
      <c r="H12" s="20"/>
      <c r="I12" s="20"/>
      <c r="J12" s="70">
        <v>480</v>
      </c>
      <c r="K12" s="20" t="s">
        <v>1450</v>
      </c>
      <c r="L12" s="20">
        <v>1.5</v>
      </c>
      <c r="M12" s="69">
        <f>Utility_Load[[#This Row],[F.L.A.]]*Utility_Load[[#This Row],[Voltage]]</f>
        <v>720</v>
      </c>
      <c r="N12" s="20" t="s">
        <v>1436</v>
      </c>
      <c r="O12" s="20"/>
      <c r="P12" s="20"/>
      <c r="Q12" s="20"/>
    </row>
    <row r="13" spans="1:17" ht="60" x14ac:dyDescent="0.25">
      <c r="A13" s="141">
        <v>46</v>
      </c>
      <c r="B13" s="141">
        <v>9</v>
      </c>
      <c r="C13" s="142" t="s">
        <v>137</v>
      </c>
      <c r="D13" s="142">
        <v>2905743</v>
      </c>
      <c r="E13" s="44" t="s">
        <v>1092</v>
      </c>
      <c r="F13" s="142"/>
      <c r="G13" s="20"/>
      <c r="H13" s="20"/>
      <c r="I13" s="20"/>
      <c r="J13" s="70">
        <v>24</v>
      </c>
      <c r="K13" s="20" t="s">
        <v>1449</v>
      </c>
      <c r="L13" s="20">
        <v>40</v>
      </c>
      <c r="M13" s="69">
        <v>960</v>
      </c>
      <c r="N13" s="20" t="s">
        <v>1436</v>
      </c>
      <c r="O13" s="20"/>
      <c r="P13" s="20"/>
      <c r="Q13" s="20"/>
    </row>
    <row r="14" spans="1:17" x14ac:dyDescent="0.25">
      <c r="A14" s="141">
        <v>58</v>
      </c>
      <c r="B14" s="141">
        <v>2</v>
      </c>
      <c r="C14" s="142" t="s">
        <v>14</v>
      </c>
      <c r="D14" s="142" t="s">
        <v>131</v>
      </c>
      <c r="E14" s="44" t="s">
        <v>822</v>
      </c>
      <c r="F14" s="142"/>
      <c r="G14" s="20"/>
      <c r="H14" s="20"/>
      <c r="I14" s="20"/>
      <c r="J14" s="70"/>
      <c r="K14" s="20"/>
      <c r="L14" s="20"/>
      <c r="M14" s="69"/>
      <c r="N14" s="20"/>
      <c r="O14" s="20"/>
      <c r="P14" s="20"/>
      <c r="Q14" s="20"/>
    </row>
    <row r="15" spans="1:17" x14ac:dyDescent="0.25">
      <c r="A15" s="141">
        <v>82</v>
      </c>
      <c r="B15" s="141">
        <v>1</v>
      </c>
      <c r="C15" s="142" t="s">
        <v>14</v>
      </c>
      <c r="D15" s="142" t="s">
        <v>501</v>
      </c>
      <c r="E15" s="44" t="s">
        <v>839</v>
      </c>
      <c r="F15" s="142"/>
      <c r="G15" s="20"/>
      <c r="H15" s="20"/>
      <c r="I15" s="20"/>
      <c r="J15" s="70"/>
      <c r="K15" s="20"/>
      <c r="L15" s="20"/>
      <c r="M15" s="69"/>
      <c r="N15" s="20"/>
      <c r="O15" s="20"/>
      <c r="P15" s="20"/>
      <c r="Q15" s="20"/>
    </row>
    <row r="16" spans="1:17" x14ac:dyDescent="0.25">
      <c r="A16" s="141">
        <v>83</v>
      </c>
      <c r="B16" s="141">
        <v>2</v>
      </c>
      <c r="C16" s="142" t="s">
        <v>14</v>
      </c>
      <c r="D16" s="142" t="s">
        <v>15</v>
      </c>
      <c r="E16" s="44" t="s">
        <v>865</v>
      </c>
      <c r="F16" s="142" t="s">
        <v>1100</v>
      </c>
      <c r="G16" s="20"/>
      <c r="H16" s="20"/>
      <c r="I16" s="20"/>
      <c r="J16" s="70"/>
      <c r="K16" s="20"/>
      <c r="L16" s="20"/>
      <c r="M16" s="69"/>
      <c r="N16" s="20"/>
      <c r="O16" s="20"/>
      <c r="P16" s="20"/>
      <c r="Q16" s="20"/>
    </row>
    <row r="17" spans="1:17" x14ac:dyDescent="0.25">
      <c r="A17" s="141">
        <v>141</v>
      </c>
      <c r="B17" s="141">
        <v>2</v>
      </c>
      <c r="C17" s="142" t="s">
        <v>93</v>
      </c>
      <c r="D17" s="142" t="s">
        <v>100</v>
      </c>
      <c r="E17" s="44" t="s">
        <v>587</v>
      </c>
      <c r="F17" s="142" t="s">
        <v>1141</v>
      </c>
      <c r="G17" s="20"/>
      <c r="H17" s="20"/>
      <c r="I17" s="20"/>
      <c r="J17" s="70"/>
      <c r="K17" s="20"/>
      <c r="L17" s="20"/>
      <c r="M17" s="69"/>
      <c r="N17" s="20"/>
      <c r="O17" s="20"/>
      <c r="P17" s="20"/>
      <c r="Q17" s="20"/>
    </row>
    <row r="18" spans="1:17" x14ac:dyDescent="0.25">
      <c r="A18" s="141">
        <v>142</v>
      </c>
      <c r="B18" s="141">
        <v>1</v>
      </c>
      <c r="C18" s="142" t="s">
        <v>93</v>
      </c>
      <c r="D18" s="142" t="s">
        <v>94</v>
      </c>
      <c r="E18" s="44" t="s">
        <v>589</v>
      </c>
      <c r="F18" s="142" t="s">
        <v>1142</v>
      </c>
      <c r="G18" s="20"/>
      <c r="H18" s="20"/>
      <c r="I18" s="20"/>
      <c r="J18" s="70"/>
      <c r="K18" s="20"/>
      <c r="L18" s="20"/>
      <c r="M18" s="69"/>
      <c r="N18" s="20"/>
      <c r="O18" s="20"/>
      <c r="P18" s="20"/>
      <c r="Q18" s="20"/>
    </row>
    <row r="25" spans="1:17" ht="15.75" thickBot="1" x14ac:dyDescent="0.3"/>
    <row r="26" spans="1:17" ht="15.75" thickBot="1" x14ac:dyDescent="0.3">
      <c r="E26" s="111" t="s">
        <v>120</v>
      </c>
      <c r="F26" s="82"/>
      <c r="G26" s="83"/>
    </row>
    <row r="27" spans="1:17" ht="15.75" thickBot="1" x14ac:dyDescent="0.3">
      <c r="E27" s="32"/>
      <c r="F27" s="18" t="s">
        <v>116</v>
      </c>
      <c r="G27" s="19" t="s">
        <v>119</v>
      </c>
    </row>
    <row r="28" spans="1:17" x14ac:dyDescent="0.25">
      <c r="E28" s="33" t="s">
        <v>112</v>
      </c>
      <c r="F28" s="5"/>
      <c r="G28" s="6"/>
    </row>
    <row r="29" spans="1:17" ht="45.75" thickBot="1" x14ac:dyDescent="0.3">
      <c r="E29" s="33" t="s">
        <v>110</v>
      </c>
      <c r="F29" s="12" t="s">
        <v>125</v>
      </c>
      <c r="G29" s="12" t="s">
        <v>125</v>
      </c>
      <c r="H29" s="1" t="s">
        <v>126</v>
      </c>
    </row>
    <row r="30" spans="1:17" ht="15.75" thickBot="1" x14ac:dyDescent="0.3">
      <c r="E30" s="33"/>
      <c r="F30" s="18" t="s">
        <v>111</v>
      </c>
      <c r="G30" s="19" t="s">
        <v>118</v>
      </c>
    </row>
    <row r="31" spans="1:17" ht="15.75" thickBot="1" x14ac:dyDescent="0.3">
      <c r="E31" s="34" t="s">
        <v>113</v>
      </c>
      <c r="F31" s="35"/>
      <c r="G31" s="36"/>
    </row>
    <row r="34" spans="5:7" ht="15.75" thickBot="1" x14ac:dyDescent="0.3"/>
    <row r="35" spans="5:7" ht="15.75" thickBot="1" x14ac:dyDescent="0.3">
      <c r="E35" s="111" t="s">
        <v>128</v>
      </c>
      <c r="F35" s="82"/>
      <c r="G35" s="83"/>
    </row>
    <row r="36" spans="5:7" x14ac:dyDescent="0.25">
      <c r="E36" s="1" t="s">
        <v>127</v>
      </c>
    </row>
  </sheetData>
  <sheetProtection formatColumns="0" formatRows="0" insertRows="0" sort="0" autoFilter="0"/>
  <mergeCells count="17">
    <mergeCell ref="E35:G35"/>
    <mergeCell ref="C3:D3"/>
    <mergeCell ref="C4:D4"/>
    <mergeCell ref="C5:D5"/>
    <mergeCell ref="O10:P10"/>
    <mergeCell ref="E26:G26"/>
    <mergeCell ref="C6:D6"/>
    <mergeCell ref="A9:Q9"/>
    <mergeCell ref="A10:I10"/>
    <mergeCell ref="A1:D1"/>
    <mergeCell ref="A2:B2"/>
    <mergeCell ref="C2:D2"/>
    <mergeCell ref="J10:N10"/>
    <mergeCell ref="A3:B3"/>
    <mergeCell ref="A4:B4"/>
    <mergeCell ref="A5:B5"/>
    <mergeCell ref="A6:B6"/>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5F4C3-0ECB-4045-A49B-D25F35B6AEAC}">
  <sheetPr codeName="Sheet5"/>
  <dimension ref="A1:Z89"/>
  <sheetViews>
    <sheetView zoomScale="85" zoomScaleNormal="85" workbookViewId="0">
      <pane xSplit="4" topLeftCell="E1" activePane="topRight" state="frozen"/>
      <selection activeCell="A10" sqref="A10"/>
      <selection pane="topRight" activeCell="D18" sqref="D18"/>
    </sheetView>
  </sheetViews>
  <sheetFormatPr defaultRowHeight="15" x14ac:dyDescent="0.25"/>
  <cols>
    <col min="1" max="1" width="11.85546875" style="2" customWidth="1"/>
    <col min="2" max="2" width="14.85546875" style="2" customWidth="1"/>
    <col min="3" max="3" width="19.85546875" style="2" customWidth="1"/>
    <col min="4" max="4" width="33.5703125" style="2" customWidth="1"/>
    <col min="5" max="5" width="16.5703125" style="2" customWidth="1"/>
    <col min="6" max="6" width="17.7109375" style="2" customWidth="1"/>
    <col min="7" max="9" width="17.5703125" style="2" customWidth="1"/>
    <col min="10" max="10" width="55.42578125" style="2" customWidth="1"/>
    <col min="11" max="11" width="17.85546875" style="2" customWidth="1"/>
    <col min="12" max="12" width="14.28515625" style="2" customWidth="1"/>
    <col min="13" max="13" width="13.140625" style="2" customWidth="1"/>
    <col min="14" max="14" width="11.5703125" style="2" customWidth="1"/>
    <col min="15" max="15" width="13.5703125" style="2" customWidth="1"/>
    <col min="16" max="16" width="119" style="2" customWidth="1"/>
    <col min="17" max="24" width="9.140625" style="2"/>
    <col min="25" max="25" width="22.7109375" style="2" customWidth="1"/>
    <col min="26" max="16384" width="9.140625" style="2"/>
  </cols>
  <sheetData>
    <row r="1" spans="1:26" ht="15.75" thickBot="1" x14ac:dyDescent="0.3">
      <c r="A1" s="81" t="s">
        <v>344</v>
      </c>
      <c r="B1" s="82"/>
      <c r="C1" s="82"/>
      <c r="D1" s="83"/>
      <c r="F1" s="81" t="s">
        <v>344</v>
      </c>
      <c r="G1" s="82"/>
      <c r="H1" s="83"/>
      <c r="I1" s="37"/>
    </row>
    <row r="2" spans="1:26" x14ac:dyDescent="0.25">
      <c r="A2" s="77" t="s">
        <v>345</v>
      </c>
      <c r="B2" s="84"/>
      <c r="C2" s="89">
        <f>Proj_Number</f>
        <v>20570</v>
      </c>
      <c r="D2" s="90"/>
      <c r="F2" s="77" t="s">
        <v>384</v>
      </c>
      <c r="G2" s="84"/>
      <c r="H2" s="38">
        <v>90</v>
      </c>
      <c r="I2" s="39"/>
    </row>
    <row r="3" spans="1:26" x14ac:dyDescent="0.25">
      <c r="A3" s="77" t="s">
        <v>346</v>
      </c>
      <c r="B3" s="84"/>
      <c r="C3" s="85" t="str">
        <f>Proj_Customer</f>
        <v>Company</v>
      </c>
      <c r="D3" s="86"/>
      <c r="F3" s="77" t="s">
        <v>385</v>
      </c>
      <c r="G3" s="84"/>
      <c r="H3" s="40">
        <v>5</v>
      </c>
      <c r="I3" s="39"/>
    </row>
    <row r="4" spans="1:26" x14ac:dyDescent="0.25">
      <c r="A4" s="77" t="s">
        <v>347</v>
      </c>
      <c r="B4" s="84"/>
      <c r="C4" s="85" t="str">
        <f>Proj_Name</f>
        <v>600HP Face Reversing 4H Rolling Mill</v>
      </c>
      <c r="D4" s="86"/>
      <c r="F4" s="77" t="s">
        <v>375</v>
      </c>
      <c r="G4" s="78"/>
      <c r="H4" s="40">
        <f>SUM(Heat_Noise_Totals[Total Heat Load (BTU/Hr)])</f>
        <v>142698.99172759807</v>
      </c>
      <c r="I4" s="39"/>
    </row>
    <row r="5" spans="1:26" ht="15.75" thickBot="1" x14ac:dyDescent="0.3">
      <c r="A5" s="77" t="s">
        <v>348</v>
      </c>
      <c r="B5" s="84"/>
      <c r="C5" s="85" t="str">
        <f>Proj_Specifications</f>
        <v>480VAC/60Hz/3P(Δ), 1200 AMP</v>
      </c>
      <c r="D5" s="86"/>
      <c r="F5" s="79" t="s">
        <v>376</v>
      </c>
      <c r="G5" s="80"/>
      <c r="H5" s="41">
        <f>SUM(Heat_Noise_Totals[Noise (dB)])</f>
        <v>0</v>
      </c>
      <c r="I5" s="39"/>
    </row>
    <row r="6" spans="1:26" ht="15.75" thickBot="1" x14ac:dyDescent="0.3">
      <c r="A6" s="79" t="s">
        <v>349</v>
      </c>
      <c r="B6" s="80"/>
      <c r="C6" s="87">
        <f>Last_Synced</f>
        <v>46073.355636574073</v>
      </c>
      <c r="D6" s="88"/>
      <c r="I6" s="42"/>
    </row>
    <row r="7" spans="1:26" ht="15.75" thickBot="1" x14ac:dyDescent="0.3"/>
    <row r="8" spans="1:26" ht="45" x14ac:dyDescent="0.25">
      <c r="C8" s="13" t="s">
        <v>352</v>
      </c>
      <c r="D8" s="6" t="s">
        <v>2</v>
      </c>
      <c r="E8" s="4" t="s">
        <v>367</v>
      </c>
      <c r="F8" s="5" t="s">
        <v>365</v>
      </c>
      <c r="G8" s="5" t="s">
        <v>364</v>
      </c>
      <c r="H8" s="5" t="s">
        <v>363</v>
      </c>
      <c r="I8" s="6" t="s">
        <v>362</v>
      </c>
      <c r="J8" s="4" t="s">
        <v>374</v>
      </c>
      <c r="K8" s="5" t="s">
        <v>361</v>
      </c>
      <c r="L8" s="5" t="s">
        <v>373</v>
      </c>
      <c r="M8" s="6" t="s">
        <v>366</v>
      </c>
      <c r="N8" s="8" t="s">
        <v>351</v>
      </c>
      <c r="O8" s="1"/>
      <c r="P8" s="1"/>
      <c r="Q8" s="1"/>
      <c r="R8" s="1"/>
      <c r="S8" s="1"/>
      <c r="T8" s="1"/>
      <c r="U8" s="1"/>
      <c r="V8" s="1"/>
      <c r="W8" s="1"/>
      <c r="X8" s="1"/>
      <c r="Y8" s="1"/>
      <c r="Z8" s="1"/>
    </row>
    <row r="9" spans="1:26" s="1" customFormat="1" ht="30" x14ac:dyDescent="0.25">
      <c r="C9" s="14" t="s">
        <v>1440</v>
      </c>
      <c r="D9" s="15" t="s">
        <v>379</v>
      </c>
      <c r="E9" s="9" t="s">
        <v>125</v>
      </c>
      <c r="F9" s="10" t="s">
        <v>125</v>
      </c>
      <c r="G9" s="10" t="s">
        <v>125</v>
      </c>
      <c r="H9" s="10" t="s">
        <v>125</v>
      </c>
      <c r="I9" s="119" t="s">
        <v>125</v>
      </c>
      <c r="J9" s="9" t="s">
        <v>125</v>
      </c>
      <c r="K9" s="118" cm="1">
        <f t="array" ref="K9">_xlfn.LET(
  _xlpm.loc, TRIM(Heat_Noise_Totals[[#This Row],[Location / Cabinet]]),
  SUMPRODUCT(
    (TRIM(Heat_Noise[Location / Cabinet])=_xlpm.loc) *
    _xlfn.NUMBERVALUE(Heat_Noise[QTY]) *
    _xlfn.NUMBERVALUE(Heat_Noise[BTU/hr Losses])
  )
)</f>
        <v>123646.58088000002</v>
      </c>
      <c r="L9" s="118"/>
      <c r="M9" s="119">
        <f>Heat_Noise_Totals[[#This Row],[Heat Load (BTU/Hr)]]+Heat_Noise_Totals[[#This Row],[Heat Load (External) (BTU/Hr)]]</f>
        <v>123646.58088000002</v>
      </c>
      <c r="N9" s="122"/>
      <c r="O9" s="2"/>
      <c r="P9" s="114" t="s">
        <v>383</v>
      </c>
      <c r="Q9" s="114"/>
      <c r="R9" s="114"/>
      <c r="S9" s="114"/>
      <c r="T9" s="114"/>
      <c r="U9" s="114"/>
      <c r="V9" s="114"/>
      <c r="W9" s="114"/>
      <c r="X9" s="114"/>
      <c r="Y9" s="114"/>
      <c r="Z9" s="114"/>
    </row>
    <row r="10" spans="1:26" x14ac:dyDescent="0.25">
      <c r="C10" s="14" t="s">
        <v>353</v>
      </c>
      <c r="D10" s="15" t="s">
        <v>360</v>
      </c>
      <c r="E10" s="9">
        <v>86</v>
      </c>
      <c r="F10" s="1">
        <v>86</v>
      </c>
      <c r="G10" s="1">
        <v>236</v>
      </c>
      <c r="H10" s="1">
        <v>24</v>
      </c>
      <c r="I10" s="119">
        <f>((2*Heat_Noise_Totals[[#This Row],[Height
(in)]]*Heat_Noise_Totals[[#This Row],[Width
(in)]])+(2*Heat_Noise_Totals[[#This Row],[Width
(in)]]*Heat_Noise_Totals[[#This Row],[Depth
(in)]])+(2*Heat_Noise_Totals[[#This Row],[Height
(in)]]*Heat_Noise_Totals[[#This Row],[Depth
(in)]])) / 144</f>
        <v>389.22222222222223</v>
      </c>
      <c r="J10" s="9">
        <f>IF(Heat_Noise_Totals[[#This Row],[Target Cabinet Temp (°F)]]=0, 0, Max_Amb_Plant_Temp - Heat_Noise_Totals[[#This Row],[Target Cabinet Temp (°F)]])</f>
        <v>4</v>
      </c>
      <c r="K10" s="118" cm="1">
        <f t="array" ref="K10">_xlfn.LET(
  _xlpm.loc, TRIM(Heat_Noise_Totals[[#This Row],[Location / Cabinet]]),
  SUMPRODUCT(
    (TRIM(Heat_Noise[Location / Cabinet])=_xlpm.loc) *
    _xlfn.NUMBERVALUE(Heat_Noise[QTY]) *
    _xlfn.NUMBERVALUE(Heat_Noise[BTU/hr Losses])
  )
)</f>
        <v>15894.494919999997</v>
      </c>
      <c r="L10" s="118">
        <f>Heat_Noise_Totals[[#This Row],[Surface Area (ft^2)]]*3.412141633*(Heat_Noise_Totals[[#This Row],[Temp Differential (∆°F)]]*0.583-0.221)</f>
        <v>2803.5797275980317</v>
      </c>
      <c r="M10" s="119">
        <f>Heat_Noise_Totals[[#This Row],[Heat Load (External) (BTU/Hr)]]+Heat_Noise_Totals[[#This Row],[Heat Load (BTU/Hr)]]</f>
        <v>18698.07464759803</v>
      </c>
      <c r="N10" s="122"/>
      <c r="P10" s="114" t="s">
        <v>380</v>
      </c>
      <c r="Q10" s="114"/>
      <c r="R10" s="114"/>
      <c r="S10" s="114"/>
      <c r="T10" s="114"/>
      <c r="U10" s="114"/>
      <c r="V10" s="114"/>
      <c r="W10" s="114"/>
      <c r="X10" s="114"/>
      <c r="Y10" s="114"/>
      <c r="Z10" s="114"/>
    </row>
    <row r="11" spans="1:26" x14ac:dyDescent="0.25">
      <c r="C11" s="14" t="s">
        <v>354</v>
      </c>
      <c r="D11" s="15" t="s">
        <v>356</v>
      </c>
      <c r="E11" s="9"/>
      <c r="F11" s="1"/>
      <c r="G11" s="1"/>
      <c r="H11" s="1"/>
      <c r="I11" s="119">
        <f>((2*Heat_Noise_Totals[[#This Row],[Height
(in)]]*Heat_Noise_Totals[[#This Row],[Width
(in)]])+(2*Heat_Noise_Totals[[#This Row],[Width
(in)]]*Heat_Noise_Totals[[#This Row],[Depth
(in)]])+(2*Heat_Noise_Totals[[#This Row],[Height
(in)]]*Heat_Noise_Totals[[#This Row],[Depth
(in)]])) / 144</f>
        <v>0</v>
      </c>
      <c r="J11" s="9">
        <f>IF(Heat_Noise_Totals[[#This Row],[Target Cabinet Temp (°F)]]=0, 0, Max_Amb_Plant_Temp - Heat_Noise_Totals[[#This Row],[Target Cabinet Temp (°F)]])</f>
        <v>0</v>
      </c>
      <c r="K11" s="118" cm="1">
        <f t="array" ref="K11">_xlfn.LET(
  _xlpm.loc, TRIM(Heat_Noise_Totals[[#This Row],[Location / Cabinet]]),
  SUMPRODUCT(
    (TRIM(Heat_Noise[Location / Cabinet])=_xlpm.loc) *
    _xlfn.NUMBERVALUE(Heat_Noise[QTY]) *
    _xlfn.NUMBERVALUE(Heat_Noise[BTU/hr Losses])
  )
)</f>
        <v>170.6</v>
      </c>
      <c r="L11" s="118">
        <f>Heat_Noise_Totals[[#This Row],[Surface Area (ft^2)]]*3.412141633*(Heat_Noise_Totals[[#This Row],[Temp Differential (∆°F)]]*0.583-0.221)</f>
        <v>0</v>
      </c>
      <c r="M11" s="119">
        <f>Heat_Noise_Totals[[#This Row],[Heat Load (External) (BTU/Hr)]]+Heat_Noise_Totals[[#This Row],[Heat Load (BTU/Hr)]]</f>
        <v>170.6</v>
      </c>
      <c r="N11" s="122"/>
      <c r="P11" s="115"/>
      <c r="Q11" s="115"/>
      <c r="R11" s="115"/>
      <c r="S11" s="115"/>
      <c r="T11" s="115"/>
      <c r="U11" s="115"/>
      <c r="V11" s="115"/>
      <c r="W11" s="115"/>
      <c r="X11" s="115"/>
      <c r="Y11" s="115"/>
      <c r="Z11" s="115"/>
    </row>
    <row r="12" spans="1:26" x14ac:dyDescent="0.25">
      <c r="C12" s="14" t="s">
        <v>355</v>
      </c>
      <c r="D12" s="15" t="s">
        <v>357</v>
      </c>
      <c r="E12" s="9"/>
      <c r="F12" s="1"/>
      <c r="G12" s="1"/>
      <c r="H12" s="1"/>
      <c r="I12" s="119">
        <f>((2*Heat_Noise_Totals[[#This Row],[Height
(in)]]*Heat_Noise_Totals[[#This Row],[Width
(in)]])+(2*Heat_Noise_Totals[[#This Row],[Width
(in)]]*Heat_Noise_Totals[[#This Row],[Depth
(in)]])+(2*Heat_Noise_Totals[[#This Row],[Height
(in)]]*Heat_Noise_Totals[[#This Row],[Depth
(in)]])) / 144</f>
        <v>0</v>
      </c>
      <c r="J12" s="9">
        <f>IF(Heat_Noise_Totals[[#This Row],[Target Cabinet Temp (°F)]]=0, 0, Max_Amb_Plant_Temp - Heat_Noise_Totals[[#This Row],[Target Cabinet Temp (°F)]])</f>
        <v>0</v>
      </c>
      <c r="K12" s="118" cm="1">
        <f t="array" ref="K12">_xlfn.LET(
  _xlpm.loc, TRIM(Heat_Noise_Totals[[#This Row],[Location / Cabinet]]),
  SUMPRODUCT(
    (TRIM(Heat_Noise[Location / Cabinet])=_xlpm.loc) *
    _xlfn.NUMBERVALUE(Heat_Noise[QTY]) *
    _xlfn.NUMBERVALUE(Heat_Noise[BTU/hr Losses])
  )
)</f>
        <v>98.094999999999999</v>
      </c>
      <c r="L12" s="118">
        <f>Heat_Noise_Totals[[#This Row],[Surface Area (ft^2)]]*3.412141633*(Heat_Noise_Totals[[#This Row],[Temp Differential (∆°F)]]*0.583-0.221)</f>
        <v>0</v>
      </c>
      <c r="M12" s="119">
        <f>Heat_Noise_Totals[[#This Row],[Heat Load (External) (BTU/Hr)]]+Heat_Noise_Totals[[#This Row],[Heat Load (BTU/Hr)]]</f>
        <v>98.094999999999999</v>
      </c>
      <c r="N12" s="122"/>
      <c r="P12" s="114" t="s">
        <v>381</v>
      </c>
      <c r="Q12" s="114"/>
      <c r="R12" s="114"/>
      <c r="S12" s="114"/>
      <c r="T12" s="114"/>
      <c r="U12" s="114"/>
      <c r="V12" s="114"/>
      <c r="W12" s="114"/>
      <c r="X12" s="114"/>
      <c r="Y12" s="114"/>
      <c r="Z12" s="114"/>
    </row>
    <row r="13" spans="1:26" x14ac:dyDescent="0.25">
      <c r="C13" s="14" t="s">
        <v>377</v>
      </c>
      <c r="D13" s="15" t="s">
        <v>378</v>
      </c>
      <c r="E13" s="9"/>
      <c r="F13" s="10"/>
      <c r="G13" s="10"/>
      <c r="H13" s="10"/>
      <c r="I13" s="119">
        <f>((2*Heat_Noise_Totals[[#This Row],[Height
(in)]]*Heat_Noise_Totals[[#This Row],[Width
(in)]])+(2*Heat_Noise_Totals[[#This Row],[Width
(in)]]*Heat_Noise_Totals[[#This Row],[Depth
(in)]])+(2*Heat_Noise_Totals[[#This Row],[Height
(in)]]*Heat_Noise_Totals[[#This Row],[Depth
(in)]])) / 144</f>
        <v>0</v>
      </c>
      <c r="J13" s="9">
        <f>IF(Heat_Noise_Totals[[#This Row],[Target Cabinet Temp (°F)]]=0, 0, Max_Amb_Plant_Temp - Heat_Noise_Totals[[#This Row],[Target Cabinet Temp (°F)]])</f>
        <v>0</v>
      </c>
      <c r="K13" s="118" cm="1">
        <f t="array" ref="K13">_xlfn.LET(
  _xlpm.loc, TRIM(Heat_Noise_Totals[[#This Row],[Location / Cabinet]]),
  SUMPRODUCT(
    (TRIM(Heat_Noise[Location / Cabinet])=_xlpm.loc) *
    _xlfn.NUMBERVALUE(Heat_Noise[QTY]) *
    _xlfn.NUMBERVALUE(Heat_Noise[BTU/hr Losses])
  )
)</f>
        <v>0</v>
      </c>
      <c r="L13" s="118">
        <f>Heat_Noise_Totals[[#This Row],[Surface Area (ft^2)]]*3.412141633*(Heat_Noise_Totals[[#This Row],[Temp Differential (∆°F)]]*0.583-0.221)</f>
        <v>0</v>
      </c>
      <c r="M13" s="119">
        <f>Heat_Noise_Totals[[#This Row],[Heat Load (External) (BTU/Hr)]]+Heat_Noise_Totals[[#This Row],[Heat Load (BTU/Hr)]]</f>
        <v>0</v>
      </c>
      <c r="N13" s="122"/>
      <c r="P13" s="115"/>
      <c r="Q13" s="115"/>
      <c r="R13" s="115"/>
      <c r="S13" s="115"/>
      <c r="T13" s="115"/>
      <c r="U13" s="115"/>
      <c r="V13" s="115"/>
      <c r="W13" s="115"/>
      <c r="X13" s="115"/>
      <c r="Y13" s="115"/>
      <c r="Z13" s="115"/>
    </row>
    <row r="14" spans="1:26" ht="30.75" thickBot="1" x14ac:dyDescent="0.3">
      <c r="C14" s="16" t="s">
        <v>359</v>
      </c>
      <c r="D14" s="17" t="s">
        <v>358</v>
      </c>
      <c r="E14" s="11"/>
      <c r="F14" s="12"/>
      <c r="G14" s="12"/>
      <c r="H14" s="12"/>
      <c r="I14" s="121">
        <f>((2*Heat_Noise_Totals[[#This Row],[Height
(in)]]*Heat_Noise_Totals[[#This Row],[Width
(in)]])+(2*Heat_Noise_Totals[[#This Row],[Width
(in)]]*Heat_Noise_Totals[[#This Row],[Depth
(in)]])+(2*Heat_Noise_Totals[[#This Row],[Height
(in)]]*Heat_Noise_Totals[[#This Row],[Depth
(in)]])) / 144</f>
        <v>0</v>
      </c>
      <c r="J14" s="11">
        <f>IF(Heat_Noise_Totals[[#This Row],[Target Cabinet Temp (°F)]]=0, 0, Max_Amb_Plant_Temp - Heat_Noise_Totals[[#This Row],[Target Cabinet Temp (°F)]])</f>
        <v>0</v>
      </c>
      <c r="K14" s="120" cm="1">
        <f t="array" ref="K14">_xlfn.LET(
  _xlpm.loc, TRIM(Heat_Noise_Totals[[#This Row],[Location / Cabinet]]),
  SUMPRODUCT(
    (TRIM(Heat_Noise[Location / Cabinet])=_xlpm.loc) *
    _xlfn.NUMBERVALUE(Heat_Noise[QTY]) *
    _xlfn.NUMBERVALUE(Heat_Noise[BTU/hr Losses])
  )
)</f>
        <v>85.641199999999998</v>
      </c>
      <c r="L14" s="120">
        <f>Heat_Noise_Totals[[#This Row],[Surface Area (ft^2)]]*3.412141633*(Heat_Noise_Totals[[#This Row],[Temp Differential (∆°F)]]*0.583-0.221)</f>
        <v>0</v>
      </c>
      <c r="M14" s="121">
        <f>Heat_Noise_Totals[[#This Row],[Heat Load (External) (BTU/Hr)]]+Heat_Noise_Totals[[#This Row],[Heat Load (BTU/Hr)]]</f>
        <v>85.641199999999998</v>
      </c>
      <c r="N14" s="123"/>
      <c r="P14" s="115" t="s">
        <v>1465</v>
      </c>
      <c r="Q14" s="115"/>
      <c r="R14" s="115"/>
      <c r="S14" s="115"/>
      <c r="T14" s="115"/>
      <c r="U14" s="115"/>
      <c r="V14" s="115"/>
      <c r="W14" s="115"/>
      <c r="X14" s="115"/>
      <c r="Y14" s="115"/>
      <c r="Z14" s="115"/>
    </row>
    <row r="15" spans="1:26" ht="30" x14ac:dyDescent="0.25">
      <c r="C15" s="1"/>
      <c r="D15" s="1"/>
      <c r="E15" s="1" t="s">
        <v>1439</v>
      </c>
      <c r="F15" s="1"/>
      <c r="G15" s="1"/>
      <c r="H15" s="1"/>
      <c r="I15" s="1"/>
      <c r="J15" s="1" t="s">
        <v>370</v>
      </c>
      <c r="K15" s="1" t="s">
        <v>369</v>
      </c>
      <c r="L15" s="1" t="s">
        <v>371</v>
      </c>
      <c r="M15" s="1" t="s">
        <v>368</v>
      </c>
      <c r="N15" s="1"/>
    </row>
    <row r="16" spans="1:26" ht="45" x14ac:dyDescent="0.25">
      <c r="C16" s="1"/>
      <c r="D16" s="1"/>
      <c r="E16" s="1"/>
      <c r="F16" s="1"/>
      <c r="G16" s="1"/>
      <c r="H16" s="1"/>
      <c r="I16" s="1"/>
      <c r="K16" s="1"/>
      <c r="L16" s="1" t="s">
        <v>372</v>
      </c>
    </row>
    <row r="18" spans="1:16" ht="15.75" thickBot="1" x14ac:dyDescent="0.3">
      <c r="A18" s="1"/>
      <c r="B18" s="1"/>
      <c r="C18" s="1"/>
      <c r="D18" s="1"/>
      <c r="E18" s="1"/>
      <c r="J18" s="31"/>
      <c r="N18" s="1" t="s">
        <v>1437</v>
      </c>
    </row>
    <row r="19" spans="1:16" ht="45" x14ac:dyDescent="0.25">
      <c r="A19" s="1" t="s">
        <v>330</v>
      </c>
      <c r="B19" s="1" t="s">
        <v>352</v>
      </c>
      <c r="C19" s="1" t="s">
        <v>0</v>
      </c>
      <c r="D19" s="1" t="s">
        <v>1</v>
      </c>
      <c r="E19" s="1" t="s">
        <v>332</v>
      </c>
      <c r="F19" s="4" t="s">
        <v>340</v>
      </c>
      <c r="G19" s="5" t="s">
        <v>106</v>
      </c>
      <c r="H19" s="5" t="s">
        <v>107</v>
      </c>
      <c r="I19" s="5" t="s">
        <v>108</v>
      </c>
      <c r="J19" s="6" t="s">
        <v>396</v>
      </c>
      <c r="K19" s="1" t="s">
        <v>1466</v>
      </c>
      <c r="L19" s="1" t="s">
        <v>1457</v>
      </c>
      <c r="M19" s="1" t="s">
        <v>382</v>
      </c>
      <c r="N19" s="1" t="s">
        <v>1438</v>
      </c>
      <c r="O19" s="1" t="s">
        <v>1458</v>
      </c>
      <c r="P19" s="1" t="s">
        <v>3</v>
      </c>
    </row>
    <row r="20" spans="1:16" x14ac:dyDescent="0.25">
      <c r="A20" s="141">
        <v>3</v>
      </c>
      <c r="B20" s="20" t="s">
        <v>355</v>
      </c>
      <c r="C20" s="142" t="s">
        <v>401</v>
      </c>
      <c r="D20" s="142" t="s">
        <v>406</v>
      </c>
      <c r="E20" s="141">
        <v>1</v>
      </c>
      <c r="F20" s="146"/>
      <c r="G20" s="142" t="s">
        <v>407</v>
      </c>
      <c r="H20" s="142"/>
      <c r="I20" s="142"/>
      <c r="J20" s="157" t="s">
        <v>758</v>
      </c>
      <c r="K20" s="69"/>
      <c r="L20" s="69">
        <v>9</v>
      </c>
      <c r="M20" s="20" t="s">
        <v>1436</v>
      </c>
      <c r="N20" s="69" cm="1">
        <f t="array" ref="N20">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30.707999999999998</v>
      </c>
      <c r="O20" s="43"/>
      <c r="P20" s="74"/>
    </row>
    <row r="21" spans="1:16" x14ac:dyDescent="0.25">
      <c r="A21" s="141">
        <v>5</v>
      </c>
      <c r="B21" s="20" t="s">
        <v>355</v>
      </c>
      <c r="C21" s="142" t="s">
        <v>401</v>
      </c>
      <c r="D21" s="142" t="s">
        <v>410</v>
      </c>
      <c r="E21" s="141">
        <v>1</v>
      </c>
      <c r="F21" s="146"/>
      <c r="G21" s="142" t="s">
        <v>411</v>
      </c>
      <c r="H21" s="142"/>
      <c r="I21" s="142"/>
      <c r="J21" s="157" t="s">
        <v>757</v>
      </c>
      <c r="K21" s="69">
        <v>2.8</v>
      </c>
      <c r="L21" s="69">
        <v>2.8</v>
      </c>
      <c r="M21" s="20" t="s">
        <v>1436</v>
      </c>
      <c r="N21" s="69" cm="1">
        <f t="array" ref="N2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9.5535999999999994</v>
      </c>
      <c r="O21" s="43"/>
      <c r="P21" s="74"/>
    </row>
    <row r="22" spans="1:16" x14ac:dyDescent="0.25">
      <c r="A22" s="141">
        <v>6</v>
      </c>
      <c r="B22" s="20" t="s">
        <v>355</v>
      </c>
      <c r="C22" s="142" t="s">
        <v>401</v>
      </c>
      <c r="D22" s="142" t="s">
        <v>412</v>
      </c>
      <c r="E22" s="141">
        <v>1</v>
      </c>
      <c r="F22" s="146"/>
      <c r="G22" s="142" t="s">
        <v>413</v>
      </c>
      <c r="H22" s="142"/>
      <c r="I22" s="142"/>
      <c r="J22" s="157" t="s">
        <v>759</v>
      </c>
      <c r="K22" s="69">
        <v>3.2</v>
      </c>
      <c r="L22" s="69">
        <v>2.4</v>
      </c>
      <c r="M22" s="20" t="s">
        <v>1436</v>
      </c>
      <c r="N22" s="69" cm="1">
        <f t="array" ref="N22">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8.1887999999999987</v>
      </c>
      <c r="O22" s="43"/>
      <c r="P22" s="74"/>
    </row>
    <row r="23" spans="1:16" x14ac:dyDescent="0.25">
      <c r="A23" s="141">
        <v>7</v>
      </c>
      <c r="B23" s="20" t="s">
        <v>355</v>
      </c>
      <c r="C23" s="142" t="s">
        <v>401</v>
      </c>
      <c r="D23" s="142" t="s">
        <v>414</v>
      </c>
      <c r="E23" s="141">
        <v>1</v>
      </c>
      <c r="F23" s="146"/>
      <c r="G23" s="142" t="s">
        <v>415</v>
      </c>
      <c r="H23" s="142"/>
      <c r="I23" s="142"/>
      <c r="J23" s="157" t="s">
        <v>760</v>
      </c>
      <c r="K23" s="69">
        <v>1.8</v>
      </c>
      <c r="L23" s="69">
        <v>1.8</v>
      </c>
      <c r="M23" s="20" t="s">
        <v>1436</v>
      </c>
      <c r="N23" s="69" cm="1">
        <f t="array" ref="N23">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6.1416000000000004</v>
      </c>
      <c r="O23" s="43"/>
      <c r="P23" s="74"/>
    </row>
    <row r="24" spans="1:16" x14ac:dyDescent="0.25">
      <c r="A24" s="141">
        <v>8</v>
      </c>
      <c r="B24" s="20" t="s">
        <v>355</v>
      </c>
      <c r="C24" s="142" t="s">
        <v>401</v>
      </c>
      <c r="D24" s="142" t="s">
        <v>416</v>
      </c>
      <c r="E24" s="141">
        <v>1</v>
      </c>
      <c r="F24" s="146"/>
      <c r="G24" s="142" t="s">
        <v>417</v>
      </c>
      <c r="H24" s="142"/>
      <c r="I24" s="142"/>
      <c r="J24" s="157" t="s">
        <v>755</v>
      </c>
      <c r="K24" s="69">
        <v>2.4</v>
      </c>
      <c r="L24" s="69">
        <v>2.4</v>
      </c>
      <c r="M24" s="20" t="s">
        <v>1436</v>
      </c>
      <c r="N24" s="69" cm="1">
        <f t="array" ref="N24">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8.1887999999999987</v>
      </c>
      <c r="O24" s="43"/>
      <c r="P24" s="74"/>
    </row>
    <row r="25" spans="1:16" ht="90" x14ac:dyDescent="0.25">
      <c r="A25" s="141">
        <v>11</v>
      </c>
      <c r="B25" s="20" t="s">
        <v>1440</v>
      </c>
      <c r="C25" s="142" t="s">
        <v>945</v>
      </c>
      <c r="D25" s="142" t="s">
        <v>944</v>
      </c>
      <c r="E25" s="141">
        <v>2</v>
      </c>
      <c r="F25" s="146" t="s">
        <v>1101</v>
      </c>
      <c r="G25" s="142" t="s">
        <v>1102</v>
      </c>
      <c r="H25" s="142"/>
      <c r="I25" s="142"/>
      <c r="J25" s="157" t="s">
        <v>1103</v>
      </c>
      <c r="K25" s="69">
        <v>223710</v>
      </c>
      <c r="L25" s="71">
        <v>95</v>
      </c>
      <c r="M25" s="72" t="s">
        <v>1456</v>
      </c>
      <c r="N25" s="69" cm="1">
        <f t="array" ref="N25">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38164.926000000029</v>
      </c>
      <c r="O25" s="43"/>
      <c r="P25" s="75" t="s">
        <v>1453</v>
      </c>
    </row>
    <row r="26" spans="1:16" x14ac:dyDescent="0.25">
      <c r="A26" s="141">
        <v>13</v>
      </c>
      <c r="B26" s="20"/>
      <c r="C26" s="142" t="s">
        <v>419</v>
      </c>
      <c r="D26" s="142" t="s">
        <v>422</v>
      </c>
      <c r="E26" s="141">
        <v>1</v>
      </c>
      <c r="F26" s="146"/>
      <c r="G26" s="142" t="s">
        <v>423</v>
      </c>
      <c r="H26" s="142"/>
      <c r="I26" s="142"/>
      <c r="J26" s="157" t="s">
        <v>764</v>
      </c>
      <c r="K26" s="69"/>
      <c r="L26" s="69">
        <v>1.2</v>
      </c>
      <c r="M26" s="20" t="s">
        <v>1436</v>
      </c>
      <c r="N26" s="69" cm="1">
        <f t="array" ref="N26">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4.0943999999999994</v>
      </c>
      <c r="O26" s="43"/>
      <c r="P26" s="74"/>
    </row>
    <row r="27" spans="1:16" x14ac:dyDescent="0.25">
      <c r="A27" s="141">
        <v>14</v>
      </c>
      <c r="B27" s="20"/>
      <c r="C27" s="142" t="s">
        <v>36</v>
      </c>
      <c r="D27" s="142" t="s">
        <v>37</v>
      </c>
      <c r="E27" s="141">
        <v>2</v>
      </c>
      <c r="F27" s="146" t="s">
        <v>1148</v>
      </c>
      <c r="G27" s="142" t="s">
        <v>424</v>
      </c>
      <c r="H27" s="142"/>
      <c r="I27" s="142"/>
      <c r="J27" s="157" t="s">
        <v>765</v>
      </c>
      <c r="K27" s="69"/>
      <c r="L27" s="69">
        <v>1.25</v>
      </c>
      <c r="M27" s="20" t="s">
        <v>1436</v>
      </c>
      <c r="N27" s="69" cm="1">
        <f t="array" ref="N27">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4.2649999999999997</v>
      </c>
      <c r="O27" s="43"/>
      <c r="P27" s="74" t="s">
        <v>1460</v>
      </c>
    </row>
    <row r="28" spans="1:16" x14ac:dyDescent="0.25">
      <c r="A28" s="141">
        <v>15</v>
      </c>
      <c r="B28" s="20" t="s">
        <v>1440</v>
      </c>
      <c r="C28" s="142" t="s">
        <v>133</v>
      </c>
      <c r="D28" s="142" t="s">
        <v>134</v>
      </c>
      <c r="E28" s="141">
        <v>1</v>
      </c>
      <c r="F28" s="146"/>
      <c r="G28" s="142" t="s">
        <v>132</v>
      </c>
      <c r="H28" s="142"/>
      <c r="I28" s="142"/>
      <c r="J28" s="157" t="s">
        <v>766</v>
      </c>
      <c r="K28" s="69">
        <v>480</v>
      </c>
      <c r="L28" s="69">
        <v>528</v>
      </c>
      <c r="M28" s="20" t="s">
        <v>1436</v>
      </c>
      <c r="N28" s="69" cm="1">
        <f t="array" ref="N28">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1801.5360000000001</v>
      </c>
      <c r="O28" s="43">
        <v>60</v>
      </c>
      <c r="P28" s="74" t="s">
        <v>1461</v>
      </c>
    </row>
    <row r="29" spans="1:16" x14ac:dyDescent="0.25">
      <c r="A29" s="141">
        <v>16</v>
      </c>
      <c r="B29" s="20" t="s">
        <v>1440</v>
      </c>
      <c r="C29" s="142" t="s">
        <v>5</v>
      </c>
      <c r="D29" s="142" t="s">
        <v>6</v>
      </c>
      <c r="E29" s="141">
        <v>4</v>
      </c>
      <c r="F29" s="146" t="s">
        <v>1097</v>
      </c>
      <c r="G29" s="142" t="s">
        <v>767</v>
      </c>
      <c r="H29" s="142"/>
      <c r="I29" s="142"/>
      <c r="J29" s="157" t="s">
        <v>893</v>
      </c>
      <c r="K29" s="69"/>
      <c r="L29" s="69">
        <v>34.56</v>
      </c>
      <c r="M29" s="20" t="s">
        <v>1436</v>
      </c>
      <c r="N29" s="69" cm="1">
        <f t="array" ref="N29">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117.91872000000001</v>
      </c>
      <c r="O29" s="43"/>
      <c r="P29" s="74"/>
    </row>
    <row r="30" spans="1:16" ht="30" x14ac:dyDescent="0.25">
      <c r="A30" s="141">
        <v>17</v>
      </c>
      <c r="B30" s="20"/>
      <c r="C30" s="142" t="s">
        <v>5</v>
      </c>
      <c r="D30" s="142" t="s">
        <v>79</v>
      </c>
      <c r="E30" s="141">
        <v>2</v>
      </c>
      <c r="F30" s="146" t="s">
        <v>1155</v>
      </c>
      <c r="G30" s="142" t="s">
        <v>425</v>
      </c>
      <c r="H30" s="142"/>
      <c r="I30" s="142"/>
      <c r="J30" s="157" t="s">
        <v>778</v>
      </c>
      <c r="K30" s="69"/>
      <c r="L30" s="69">
        <v>1.3</v>
      </c>
      <c r="M30" s="20" t="s">
        <v>1436</v>
      </c>
      <c r="N30" s="69" cm="1">
        <f t="array" ref="N30">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4.4356</v>
      </c>
      <c r="O30" s="43"/>
      <c r="P30" s="74"/>
    </row>
    <row r="31" spans="1:16" x14ac:dyDescent="0.25">
      <c r="A31" s="141">
        <v>18</v>
      </c>
      <c r="B31" s="20"/>
      <c r="C31" s="142" t="s">
        <v>5</v>
      </c>
      <c r="D31" s="142" t="s">
        <v>426</v>
      </c>
      <c r="E31" s="141">
        <v>2</v>
      </c>
      <c r="F31" s="146" t="s">
        <v>1166</v>
      </c>
      <c r="G31" s="142" t="s">
        <v>427</v>
      </c>
      <c r="H31" s="142"/>
      <c r="I31" s="142"/>
      <c r="J31" s="157" t="s">
        <v>773</v>
      </c>
      <c r="K31" s="69"/>
      <c r="L31" s="69">
        <v>0.6</v>
      </c>
      <c r="M31" s="20" t="s">
        <v>1436</v>
      </c>
      <c r="N31" s="69" cm="1">
        <f t="array" ref="N3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2.0471999999999997</v>
      </c>
      <c r="O31" s="43"/>
      <c r="P31" s="74"/>
    </row>
    <row r="32" spans="1:16" ht="75" x14ac:dyDescent="0.25">
      <c r="A32" s="141">
        <v>19</v>
      </c>
      <c r="B32" s="20" t="s">
        <v>1440</v>
      </c>
      <c r="C32" s="142" t="s">
        <v>5</v>
      </c>
      <c r="D32" s="142" t="s">
        <v>67</v>
      </c>
      <c r="E32" s="141">
        <v>6</v>
      </c>
      <c r="F32" s="146" t="s">
        <v>1156</v>
      </c>
      <c r="G32" s="142" t="s">
        <v>428</v>
      </c>
      <c r="H32" s="142"/>
      <c r="I32" s="142" t="s">
        <v>703</v>
      </c>
      <c r="J32" s="157" t="s">
        <v>704</v>
      </c>
      <c r="K32" s="69"/>
      <c r="L32" s="69">
        <v>0.25</v>
      </c>
      <c r="M32" s="20" t="s">
        <v>1436</v>
      </c>
      <c r="N32" s="69" cm="1">
        <f t="array" ref="N32">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0.85299999999999998</v>
      </c>
      <c r="O32" s="43"/>
      <c r="P32" s="74"/>
    </row>
    <row r="33" spans="1:16" x14ac:dyDescent="0.25">
      <c r="A33" s="141">
        <v>20</v>
      </c>
      <c r="B33" s="20"/>
      <c r="C33" s="142" t="s">
        <v>5</v>
      </c>
      <c r="D33" s="142" t="s">
        <v>19</v>
      </c>
      <c r="E33" s="141">
        <v>1</v>
      </c>
      <c r="F33" s="146" t="s">
        <v>1121</v>
      </c>
      <c r="G33" s="142" t="s">
        <v>768</v>
      </c>
      <c r="H33" s="142" t="s">
        <v>583</v>
      </c>
      <c r="I33" s="142"/>
      <c r="J33" s="157" t="s">
        <v>651</v>
      </c>
      <c r="K33" s="69"/>
      <c r="L33" s="69">
        <v>1.25</v>
      </c>
      <c r="M33" s="20" t="s">
        <v>1436</v>
      </c>
      <c r="N33" s="69" cm="1">
        <f t="array" ref="N33">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4.2649999999999997</v>
      </c>
      <c r="O33" s="43"/>
      <c r="P33" s="74"/>
    </row>
    <row r="34" spans="1:16" x14ac:dyDescent="0.25">
      <c r="A34" s="141">
        <v>22</v>
      </c>
      <c r="B34" s="20"/>
      <c r="C34" s="142" t="s">
        <v>5</v>
      </c>
      <c r="D34" s="142" t="s">
        <v>21</v>
      </c>
      <c r="E34" s="141">
        <v>1</v>
      </c>
      <c r="F34" s="146" t="s">
        <v>1122</v>
      </c>
      <c r="G34" s="142" t="s">
        <v>776</v>
      </c>
      <c r="H34" s="142" t="s">
        <v>583</v>
      </c>
      <c r="I34" s="142"/>
      <c r="J34" s="157" t="s">
        <v>653</v>
      </c>
      <c r="K34" s="69"/>
      <c r="L34" s="69">
        <v>1.25</v>
      </c>
      <c r="M34" s="20" t="s">
        <v>1436</v>
      </c>
      <c r="N34" s="69" cm="1">
        <f t="array" ref="N34">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4.2649999999999997</v>
      </c>
      <c r="O34" s="43"/>
      <c r="P34" s="74"/>
    </row>
    <row r="35" spans="1:16" ht="75" x14ac:dyDescent="0.25">
      <c r="A35" s="141">
        <v>23</v>
      </c>
      <c r="B35" s="20"/>
      <c r="C35" s="142" t="s">
        <v>5</v>
      </c>
      <c r="D35" s="142" t="s">
        <v>31</v>
      </c>
      <c r="E35" s="141">
        <v>6</v>
      </c>
      <c r="F35" s="146" t="s">
        <v>1329</v>
      </c>
      <c r="G35" s="142"/>
      <c r="H35" s="142" t="s">
        <v>616</v>
      </c>
      <c r="I35" s="142"/>
      <c r="J35" s="157" t="s">
        <v>654</v>
      </c>
      <c r="K35" s="69"/>
      <c r="L35" s="69">
        <v>0.5</v>
      </c>
      <c r="M35" s="20" t="s">
        <v>1436</v>
      </c>
      <c r="N35" s="69" cm="1">
        <f t="array" ref="N35">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1.706</v>
      </c>
      <c r="O35" s="43"/>
      <c r="P35" s="74"/>
    </row>
    <row r="36" spans="1:16" ht="60" x14ac:dyDescent="0.25">
      <c r="A36" s="141">
        <v>24</v>
      </c>
      <c r="B36" s="20"/>
      <c r="C36" s="142" t="s">
        <v>5</v>
      </c>
      <c r="D36" s="142" t="s">
        <v>22</v>
      </c>
      <c r="E36" s="141">
        <v>7</v>
      </c>
      <c r="F36" s="146" t="s">
        <v>1123</v>
      </c>
      <c r="G36" s="142" t="s">
        <v>774</v>
      </c>
      <c r="H36" s="142" t="s">
        <v>655</v>
      </c>
      <c r="I36" s="142"/>
      <c r="J36" s="157" t="s">
        <v>656</v>
      </c>
      <c r="K36" s="69"/>
      <c r="L36" s="69">
        <v>1</v>
      </c>
      <c r="M36" s="20" t="s">
        <v>1436</v>
      </c>
      <c r="N36" s="69" cm="1">
        <f t="array" ref="N36">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3.4119999999999999</v>
      </c>
      <c r="O36" s="43"/>
      <c r="P36" s="74"/>
    </row>
    <row r="37" spans="1:16" x14ac:dyDescent="0.25">
      <c r="A37" s="141">
        <v>32</v>
      </c>
      <c r="B37" s="20"/>
      <c r="C37" s="142" t="s">
        <v>438</v>
      </c>
      <c r="D37" s="142" t="s">
        <v>441</v>
      </c>
      <c r="E37" s="141">
        <v>1</v>
      </c>
      <c r="F37" s="146"/>
      <c r="G37" s="142" t="s">
        <v>440</v>
      </c>
      <c r="H37" s="142"/>
      <c r="I37" s="142"/>
      <c r="J37" s="157" t="s">
        <v>796</v>
      </c>
      <c r="K37" s="69"/>
      <c r="L37" s="69">
        <v>85</v>
      </c>
      <c r="M37" s="20" t="s">
        <v>1436</v>
      </c>
      <c r="N37" s="69" cm="1">
        <f t="array" ref="N37">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290.02</v>
      </c>
      <c r="O37" s="43"/>
      <c r="P37" s="74"/>
    </row>
    <row r="38" spans="1:16" x14ac:dyDescent="0.25">
      <c r="A38" s="141">
        <v>44</v>
      </c>
      <c r="B38" s="20" t="s">
        <v>353</v>
      </c>
      <c r="C38" s="142" t="s">
        <v>137</v>
      </c>
      <c r="D38" s="142">
        <v>1159045</v>
      </c>
      <c r="E38" s="141">
        <v>1</v>
      </c>
      <c r="F38" s="146"/>
      <c r="G38" s="142" t="s">
        <v>138</v>
      </c>
      <c r="H38" s="142"/>
      <c r="I38" s="142"/>
      <c r="J38" s="157" t="s">
        <v>801</v>
      </c>
      <c r="K38" s="69">
        <v>960</v>
      </c>
      <c r="L38" s="69">
        <v>95.8</v>
      </c>
      <c r="M38" s="20" t="s">
        <v>1456</v>
      </c>
      <c r="N38" s="69" cm="1">
        <f t="array" ref="N38">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137.57184000000012</v>
      </c>
      <c r="O38" s="43"/>
      <c r="P38" s="74"/>
    </row>
    <row r="39" spans="1:16" ht="30" x14ac:dyDescent="0.25">
      <c r="A39" s="141">
        <v>45</v>
      </c>
      <c r="B39" s="20" t="s">
        <v>353</v>
      </c>
      <c r="C39" s="142" t="s">
        <v>137</v>
      </c>
      <c r="D39" s="142">
        <v>2910386</v>
      </c>
      <c r="E39" s="141">
        <v>1</v>
      </c>
      <c r="F39" s="146"/>
      <c r="G39" s="142" t="s">
        <v>456</v>
      </c>
      <c r="H39" s="142"/>
      <c r="I39" s="142"/>
      <c r="J39" s="157" t="s">
        <v>812</v>
      </c>
      <c r="K39" s="69"/>
      <c r="L39" s="69">
        <v>0.15</v>
      </c>
      <c r="M39" s="20" t="s">
        <v>1436</v>
      </c>
      <c r="N39" s="69" cm="1">
        <f t="array" ref="N39">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0.51179999999999992</v>
      </c>
      <c r="O39" s="43"/>
      <c r="P39" s="74" t="s">
        <v>1462</v>
      </c>
    </row>
    <row r="40" spans="1:16" ht="135" x14ac:dyDescent="0.25">
      <c r="A40" s="141">
        <v>46</v>
      </c>
      <c r="B40" s="20"/>
      <c r="C40" s="142" t="s">
        <v>137</v>
      </c>
      <c r="D40" s="142">
        <v>2905743</v>
      </c>
      <c r="E40" s="141">
        <v>9</v>
      </c>
      <c r="F40" s="146"/>
      <c r="G40" s="142" t="s">
        <v>457</v>
      </c>
      <c r="H40" s="142"/>
      <c r="I40" s="142"/>
      <c r="J40" s="157" t="s">
        <v>1092</v>
      </c>
      <c r="K40" s="69">
        <v>960</v>
      </c>
      <c r="L40" s="69">
        <v>7</v>
      </c>
      <c r="M40" s="20" t="s">
        <v>1436</v>
      </c>
      <c r="N40" s="69" cm="1">
        <f t="array" ref="N40">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23.884</v>
      </c>
      <c r="O40" s="43"/>
      <c r="P40" s="74"/>
    </row>
    <row r="41" spans="1:16" ht="30" x14ac:dyDescent="0.25">
      <c r="A41" s="141">
        <v>58</v>
      </c>
      <c r="B41" s="20" t="s">
        <v>1440</v>
      </c>
      <c r="C41" s="142" t="s">
        <v>14</v>
      </c>
      <c r="D41" s="142" t="s">
        <v>131</v>
      </c>
      <c r="E41" s="141">
        <v>2</v>
      </c>
      <c r="F41" s="146"/>
      <c r="G41" s="142" t="s">
        <v>462</v>
      </c>
      <c r="H41" s="142"/>
      <c r="I41" s="142"/>
      <c r="J41" s="157" t="s">
        <v>822</v>
      </c>
      <c r="K41" s="69">
        <v>330000</v>
      </c>
      <c r="L41" s="69">
        <v>98</v>
      </c>
      <c r="M41" s="20" t="s">
        <v>1456</v>
      </c>
      <c r="N41" s="69" cm="1">
        <f t="array" ref="N4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22519.200000000019</v>
      </c>
      <c r="O41" s="43"/>
      <c r="P41" s="74" t="s">
        <v>1463</v>
      </c>
    </row>
    <row r="42" spans="1:16" ht="90" x14ac:dyDescent="0.25">
      <c r="A42" s="141">
        <v>61</v>
      </c>
      <c r="B42" s="20" t="s">
        <v>353</v>
      </c>
      <c r="C42" s="142" t="s">
        <v>14</v>
      </c>
      <c r="D42" s="142" t="s">
        <v>466</v>
      </c>
      <c r="E42" s="141">
        <v>6</v>
      </c>
      <c r="F42" s="146"/>
      <c r="G42" s="142" t="s">
        <v>465</v>
      </c>
      <c r="H42" s="142"/>
      <c r="I42" s="142"/>
      <c r="J42" s="157" t="s">
        <v>816</v>
      </c>
      <c r="K42" s="69"/>
      <c r="L42" s="69">
        <v>21</v>
      </c>
      <c r="M42" s="20" t="s">
        <v>1436</v>
      </c>
      <c r="N42" s="69" cm="1">
        <f t="array" ref="N42">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71.652000000000001</v>
      </c>
      <c r="O42" s="43"/>
      <c r="P42" s="74"/>
    </row>
    <row r="43" spans="1:16" x14ac:dyDescent="0.25">
      <c r="A43" s="141">
        <v>63</v>
      </c>
      <c r="B43" s="20" t="s">
        <v>353</v>
      </c>
      <c r="C43" s="142" t="s">
        <v>14</v>
      </c>
      <c r="D43" s="142" t="s">
        <v>469</v>
      </c>
      <c r="E43" s="141">
        <v>1</v>
      </c>
      <c r="F43" s="146"/>
      <c r="G43" s="142" t="s">
        <v>468</v>
      </c>
      <c r="H43" s="142"/>
      <c r="I43" s="142"/>
      <c r="J43" s="157" t="s">
        <v>855</v>
      </c>
      <c r="K43" s="69"/>
      <c r="L43" s="69"/>
      <c r="M43" s="20"/>
      <c r="N43" s="69" t="str" cm="1">
        <f t="array" ref="N43">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43" s="43"/>
      <c r="P43" s="74"/>
    </row>
    <row r="44" spans="1:16" x14ac:dyDescent="0.25">
      <c r="A44" s="141">
        <v>64</v>
      </c>
      <c r="B44" s="20" t="s">
        <v>353</v>
      </c>
      <c r="C44" s="142" t="s">
        <v>14</v>
      </c>
      <c r="D44" s="142" t="s">
        <v>470</v>
      </c>
      <c r="E44" s="141">
        <v>1</v>
      </c>
      <c r="F44" s="146"/>
      <c r="G44" s="142" t="s">
        <v>471</v>
      </c>
      <c r="H44" s="142"/>
      <c r="I44" s="142"/>
      <c r="J44" s="157" t="s">
        <v>853</v>
      </c>
      <c r="K44" s="69"/>
      <c r="L44" s="69"/>
      <c r="M44" s="20"/>
      <c r="N44" s="69" t="str" cm="1">
        <f t="array" ref="N44">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44" s="43"/>
      <c r="P44" s="74"/>
    </row>
    <row r="45" spans="1:16" ht="30" x14ac:dyDescent="0.25">
      <c r="A45" s="141">
        <v>65</v>
      </c>
      <c r="B45" s="20" t="s">
        <v>353</v>
      </c>
      <c r="C45" s="142" t="s">
        <v>14</v>
      </c>
      <c r="D45" s="142" t="s">
        <v>472</v>
      </c>
      <c r="E45" s="141">
        <v>2</v>
      </c>
      <c r="F45" s="146"/>
      <c r="G45" s="142" t="s">
        <v>710</v>
      </c>
      <c r="H45" s="142"/>
      <c r="I45" s="142"/>
      <c r="J45" s="157" t="s">
        <v>852</v>
      </c>
      <c r="K45" s="69"/>
      <c r="L45" s="69"/>
      <c r="M45" s="20"/>
      <c r="N45" s="69" t="str" cm="1">
        <f t="array" ref="N45">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45" s="43"/>
      <c r="P45" s="74"/>
    </row>
    <row r="46" spans="1:16" ht="120" x14ac:dyDescent="0.25">
      <c r="A46" s="141">
        <v>67</v>
      </c>
      <c r="B46" s="20"/>
      <c r="C46" s="142" t="s">
        <v>14</v>
      </c>
      <c r="D46" s="142" t="s">
        <v>476</v>
      </c>
      <c r="E46" s="141">
        <v>7</v>
      </c>
      <c r="F46" s="146"/>
      <c r="G46" s="142" t="s">
        <v>477</v>
      </c>
      <c r="H46" s="142"/>
      <c r="I46" s="142"/>
      <c r="J46" s="157" t="s">
        <v>857</v>
      </c>
      <c r="K46" s="69"/>
      <c r="L46" s="69"/>
      <c r="M46" s="20"/>
      <c r="N46" s="69" t="str" cm="1">
        <f t="array" ref="N46">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46" s="43"/>
      <c r="P46" s="74"/>
    </row>
    <row r="47" spans="1:16" ht="30" x14ac:dyDescent="0.25">
      <c r="A47" s="141">
        <v>68</v>
      </c>
      <c r="B47" s="20" t="s">
        <v>359</v>
      </c>
      <c r="C47" s="142" t="s">
        <v>14</v>
      </c>
      <c r="D47" s="142" t="s">
        <v>478</v>
      </c>
      <c r="E47" s="141">
        <v>2</v>
      </c>
      <c r="F47" s="146"/>
      <c r="G47" s="142" t="s">
        <v>485</v>
      </c>
      <c r="H47" s="142"/>
      <c r="I47" s="142"/>
      <c r="J47" s="157" t="s">
        <v>815</v>
      </c>
      <c r="K47" s="69"/>
      <c r="L47" s="69">
        <v>10</v>
      </c>
      <c r="M47" s="20" t="s">
        <v>1436</v>
      </c>
      <c r="N47" s="69" cm="1">
        <f t="array" ref="N47">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34.119999999999997</v>
      </c>
      <c r="O47" s="43"/>
      <c r="P47" s="74"/>
    </row>
    <row r="48" spans="1:16" ht="30" x14ac:dyDescent="0.25">
      <c r="A48" s="141">
        <v>69</v>
      </c>
      <c r="B48" s="20" t="s">
        <v>359</v>
      </c>
      <c r="C48" s="142" t="s">
        <v>14</v>
      </c>
      <c r="D48" s="142" t="s">
        <v>479</v>
      </c>
      <c r="E48" s="141">
        <v>2</v>
      </c>
      <c r="F48" s="146"/>
      <c r="G48" s="142" t="s">
        <v>485</v>
      </c>
      <c r="H48" s="142"/>
      <c r="I48" s="142"/>
      <c r="J48" s="157" t="s">
        <v>859</v>
      </c>
      <c r="K48" s="69"/>
      <c r="L48" s="69"/>
      <c r="M48" s="20"/>
      <c r="N48" s="69" t="str" cm="1">
        <f t="array" ref="N48">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48" s="43"/>
      <c r="P48" s="74"/>
    </row>
    <row r="49" spans="1:16" ht="120" x14ac:dyDescent="0.25">
      <c r="A49" s="141">
        <v>70</v>
      </c>
      <c r="B49" s="20"/>
      <c r="C49" s="142" t="s">
        <v>14</v>
      </c>
      <c r="D49" s="142" t="s">
        <v>480</v>
      </c>
      <c r="E49" s="141">
        <v>7</v>
      </c>
      <c r="F49" s="146"/>
      <c r="G49" s="142" t="s">
        <v>477</v>
      </c>
      <c r="H49" s="142"/>
      <c r="I49" s="142"/>
      <c r="J49" s="157" t="s">
        <v>858</v>
      </c>
      <c r="K49" s="69"/>
      <c r="L49" s="69"/>
      <c r="M49" s="20"/>
      <c r="N49" s="69" t="str" cm="1">
        <f t="array" ref="N49">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49" s="43"/>
      <c r="P49" s="74"/>
    </row>
    <row r="50" spans="1:16" ht="45" x14ac:dyDescent="0.25">
      <c r="A50" s="141">
        <v>71</v>
      </c>
      <c r="B50" s="20" t="s">
        <v>359</v>
      </c>
      <c r="C50" s="142" t="s">
        <v>14</v>
      </c>
      <c r="D50" s="142" t="s">
        <v>481</v>
      </c>
      <c r="E50" s="141">
        <v>3</v>
      </c>
      <c r="F50" s="146"/>
      <c r="G50" s="142" t="s">
        <v>482</v>
      </c>
      <c r="H50" s="142"/>
      <c r="I50" s="142"/>
      <c r="J50" s="157" t="s">
        <v>862</v>
      </c>
      <c r="K50" s="69"/>
      <c r="L50" s="69"/>
      <c r="M50" s="20"/>
      <c r="N50" s="69" t="str" cm="1">
        <f t="array" ref="N50">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50" s="43"/>
      <c r="P50" s="74"/>
    </row>
    <row r="51" spans="1:16" ht="60" x14ac:dyDescent="0.25">
      <c r="A51" s="141">
        <v>72</v>
      </c>
      <c r="B51" s="20" t="s">
        <v>359</v>
      </c>
      <c r="C51" s="142" t="s">
        <v>14</v>
      </c>
      <c r="D51" s="142" t="s">
        <v>483</v>
      </c>
      <c r="E51" s="141">
        <v>3</v>
      </c>
      <c r="F51" s="146"/>
      <c r="G51" s="142" t="s">
        <v>482</v>
      </c>
      <c r="H51" s="142"/>
      <c r="I51" s="142"/>
      <c r="J51" s="157" t="s">
        <v>861</v>
      </c>
      <c r="K51" s="69"/>
      <c r="L51" s="69"/>
      <c r="M51" s="20"/>
      <c r="N51" s="69" t="str" cm="1">
        <f t="array" ref="N5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51" s="43"/>
      <c r="P51" s="74"/>
    </row>
    <row r="52" spans="1:16" x14ac:dyDescent="0.25">
      <c r="A52" s="141">
        <v>74</v>
      </c>
      <c r="B52" s="20" t="s">
        <v>359</v>
      </c>
      <c r="C52" s="142" t="s">
        <v>14</v>
      </c>
      <c r="D52" s="142" t="s">
        <v>486</v>
      </c>
      <c r="E52" s="141">
        <v>1</v>
      </c>
      <c r="F52" s="146"/>
      <c r="G52" s="142" t="s">
        <v>487</v>
      </c>
      <c r="H52" s="142"/>
      <c r="I52" s="142"/>
      <c r="J52" s="157" t="s">
        <v>814</v>
      </c>
      <c r="K52" s="69"/>
      <c r="L52" s="69">
        <v>5.0999999999999996</v>
      </c>
      <c r="M52" s="20" t="s">
        <v>1436</v>
      </c>
      <c r="N52" s="69" cm="1">
        <f t="array" ref="N52">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17.401199999999999</v>
      </c>
      <c r="O52" s="43"/>
      <c r="P52" s="74"/>
    </row>
    <row r="53" spans="1:16" ht="45" x14ac:dyDescent="0.25">
      <c r="A53" s="141">
        <v>78</v>
      </c>
      <c r="B53" s="20"/>
      <c r="C53" s="142" t="s">
        <v>14</v>
      </c>
      <c r="D53" s="142" t="s">
        <v>493</v>
      </c>
      <c r="E53" s="141">
        <v>4</v>
      </c>
      <c r="F53" s="146"/>
      <c r="G53" s="142" t="s">
        <v>494</v>
      </c>
      <c r="H53" s="142"/>
      <c r="I53" s="142"/>
      <c r="J53" s="157" t="s">
        <v>825</v>
      </c>
      <c r="K53" s="69"/>
      <c r="L53" s="69"/>
      <c r="M53" s="20"/>
      <c r="N53" s="69" t="str" cm="1">
        <f t="array" ref="N53">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53" s="43"/>
      <c r="P53" s="74"/>
    </row>
    <row r="54" spans="1:16" ht="30" x14ac:dyDescent="0.25">
      <c r="A54" s="141">
        <v>79</v>
      </c>
      <c r="B54" s="20" t="s">
        <v>359</v>
      </c>
      <c r="C54" s="142" t="s">
        <v>14</v>
      </c>
      <c r="D54" s="142" t="s">
        <v>495</v>
      </c>
      <c r="E54" s="141">
        <v>2</v>
      </c>
      <c r="F54" s="146"/>
      <c r="G54" s="142" t="s">
        <v>496</v>
      </c>
      <c r="H54" s="142"/>
      <c r="I54" s="142"/>
      <c r="J54" s="157" t="s">
        <v>823</v>
      </c>
      <c r="K54" s="69"/>
      <c r="L54" s="69"/>
      <c r="M54" s="20"/>
      <c r="N54" s="69" t="str" cm="1">
        <f t="array" ref="N54">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54" s="43"/>
      <c r="P54" s="74"/>
    </row>
    <row r="55" spans="1:16" ht="60" x14ac:dyDescent="0.25">
      <c r="A55" s="141">
        <v>80</v>
      </c>
      <c r="B55" s="20" t="s">
        <v>353</v>
      </c>
      <c r="C55" s="142" t="s">
        <v>14</v>
      </c>
      <c r="D55" s="142" t="s">
        <v>497</v>
      </c>
      <c r="E55" s="141">
        <v>3</v>
      </c>
      <c r="F55" s="146"/>
      <c r="G55" s="142" t="s">
        <v>498</v>
      </c>
      <c r="H55" s="142"/>
      <c r="I55" s="142"/>
      <c r="J55" s="157" t="s">
        <v>824</v>
      </c>
      <c r="K55" s="69"/>
      <c r="L55" s="69"/>
      <c r="M55" s="20"/>
      <c r="N55" s="69" t="str" cm="1">
        <f t="array" ref="N55">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55" s="43"/>
      <c r="P55" s="74"/>
    </row>
    <row r="56" spans="1:16" ht="30" x14ac:dyDescent="0.25">
      <c r="A56" s="141">
        <v>81</v>
      </c>
      <c r="B56" s="20" t="s">
        <v>359</v>
      </c>
      <c r="C56" s="142" t="s">
        <v>14</v>
      </c>
      <c r="D56" s="142" t="s">
        <v>499</v>
      </c>
      <c r="E56" s="141">
        <v>1</v>
      </c>
      <c r="F56" s="146"/>
      <c r="G56" s="142" t="s">
        <v>500</v>
      </c>
      <c r="H56" s="142"/>
      <c r="I56" s="142"/>
      <c r="J56" s="157" t="s">
        <v>826</v>
      </c>
      <c r="K56" s="69"/>
      <c r="L56" s="69"/>
      <c r="M56" s="20"/>
      <c r="N56" s="69" t="str" cm="1">
        <f t="array" ref="N56">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56" s="43"/>
      <c r="P56" s="74"/>
    </row>
    <row r="57" spans="1:16" x14ac:dyDescent="0.25">
      <c r="A57" s="141">
        <v>82</v>
      </c>
      <c r="B57" s="20" t="s">
        <v>353</v>
      </c>
      <c r="C57" s="142" t="s">
        <v>14</v>
      </c>
      <c r="D57" s="142" t="s">
        <v>501</v>
      </c>
      <c r="E57" s="141">
        <v>1</v>
      </c>
      <c r="F57" s="146"/>
      <c r="G57" s="142" t="s">
        <v>135</v>
      </c>
      <c r="H57" s="142"/>
      <c r="I57" s="142"/>
      <c r="J57" s="157" t="s">
        <v>839</v>
      </c>
      <c r="K57" s="69"/>
      <c r="L57" s="69"/>
      <c r="M57" s="20"/>
      <c r="N57" s="69" t="str" cm="1">
        <f t="array" ref="N57">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57" s="43"/>
      <c r="P57" s="74"/>
    </row>
    <row r="58" spans="1:16" ht="30" x14ac:dyDescent="0.25">
      <c r="A58" s="141">
        <v>83</v>
      </c>
      <c r="B58" s="20" t="s">
        <v>353</v>
      </c>
      <c r="C58" s="142" t="s">
        <v>14</v>
      </c>
      <c r="D58" s="142" t="s">
        <v>15</v>
      </c>
      <c r="E58" s="141">
        <v>2</v>
      </c>
      <c r="F58" s="146" t="s">
        <v>1100</v>
      </c>
      <c r="G58" s="142" t="s">
        <v>461</v>
      </c>
      <c r="H58" s="142"/>
      <c r="I58" s="142"/>
      <c r="J58" s="157" t="s">
        <v>865</v>
      </c>
      <c r="K58" s="69">
        <v>223710</v>
      </c>
      <c r="L58" s="69">
        <v>2143</v>
      </c>
      <c r="M58" s="20" t="s">
        <v>1436</v>
      </c>
      <c r="N58" s="69" cm="1">
        <f t="array" ref="N58">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7311.9160000000002</v>
      </c>
      <c r="O58" s="43">
        <v>62.5</v>
      </c>
      <c r="P58" s="74"/>
    </row>
    <row r="59" spans="1:16" ht="45" x14ac:dyDescent="0.25">
      <c r="A59" s="141">
        <v>85</v>
      </c>
      <c r="B59" s="20"/>
      <c r="C59" s="142" t="s">
        <v>14</v>
      </c>
      <c r="D59" s="142" t="s">
        <v>503</v>
      </c>
      <c r="E59" s="141">
        <v>3</v>
      </c>
      <c r="F59" s="146"/>
      <c r="G59" s="142" t="s">
        <v>504</v>
      </c>
      <c r="H59" s="142"/>
      <c r="I59" s="142"/>
      <c r="J59" s="157" t="s">
        <v>840</v>
      </c>
      <c r="K59" s="69">
        <v>10.4</v>
      </c>
      <c r="L59" s="69">
        <v>6.3</v>
      </c>
      <c r="M59" s="20" t="s">
        <v>1436</v>
      </c>
      <c r="N59" s="69" cm="1">
        <f t="array" ref="N59">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21.4956</v>
      </c>
      <c r="O59" s="43"/>
      <c r="P59" s="74"/>
    </row>
    <row r="60" spans="1:16" x14ac:dyDescent="0.25">
      <c r="A60" s="141">
        <v>86</v>
      </c>
      <c r="B60" s="20" t="s">
        <v>355</v>
      </c>
      <c r="C60" s="142" t="s">
        <v>14</v>
      </c>
      <c r="D60" s="142" t="s">
        <v>505</v>
      </c>
      <c r="E60" s="141">
        <v>1</v>
      </c>
      <c r="F60" s="146"/>
      <c r="G60" s="142" t="s">
        <v>506</v>
      </c>
      <c r="H60" s="142"/>
      <c r="I60" s="142"/>
      <c r="J60" s="157" t="s">
        <v>841</v>
      </c>
      <c r="K60" s="69">
        <v>9.8000000000000007</v>
      </c>
      <c r="L60" s="69">
        <v>3</v>
      </c>
      <c r="M60" s="20" t="s">
        <v>1436</v>
      </c>
      <c r="N60" s="69" cm="1">
        <f t="array" ref="N60">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10.236000000000001</v>
      </c>
      <c r="O60" s="43"/>
      <c r="P60" s="74"/>
    </row>
    <row r="61" spans="1:16" ht="45" x14ac:dyDescent="0.25">
      <c r="A61" s="141">
        <v>87</v>
      </c>
      <c r="B61" s="20"/>
      <c r="C61" s="142" t="s">
        <v>14</v>
      </c>
      <c r="D61" s="142" t="s">
        <v>507</v>
      </c>
      <c r="E61" s="141">
        <v>3</v>
      </c>
      <c r="F61" s="146"/>
      <c r="G61" s="142" t="s">
        <v>508</v>
      </c>
      <c r="H61" s="142"/>
      <c r="I61" s="142"/>
      <c r="J61" s="157" t="s">
        <v>844</v>
      </c>
      <c r="K61" s="69"/>
      <c r="L61" s="69">
        <v>3</v>
      </c>
      <c r="M61" s="20" t="s">
        <v>1436</v>
      </c>
      <c r="N61" s="69" cm="1">
        <f t="array" ref="N6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10.236000000000001</v>
      </c>
      <c r="O61" s="43"/>
      <c r="P61" s="74"/>
    </row>
    <row r="62" spans="1:16" x14ac:dyDescent="0.25">
      <c r="A62" s="141">
        <v>88</v>
      </c>
      <c r="B62" s="20" t="s">
        <v>353</v>
      </c>
      <c r="C62" s="142" t="s">
        <v>14</v>
      </c>
      <c r="D62" s="142" t="s">
        <v>509</v>
      </c>
      <c r="E62" s="141">
        <v>1</v>
      </c>
      <c r="F62" s="146"/>
      <c r="G62" s="142" t="s">
        <v>510</v>
      </c>
      <c r="H62" s="142"/>
      <c r="I62" s="142"/>
      <c r="J62" s="157" t="s">
        <v>849</v>
      </c>
      <c r="K62" s="69"/>
      <c r="L62" s="69">
        <v>3.5</v>
      </c>
      <c r="M62" s="20" t="s">
        <v>1436</v>
      </c>
      <c r="N62" s="69" cm="1">
        <f t="array" ref="N62">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11.942</v>
      </c>
      <c r="O62" s="43"/>
      <c r="P62" s="74"/>
    </row>
    <row r="63" spans="1:16" ht="120" x14ac:dyDescent="0.25">
      <c r="A63" s="141">
        <v>89</v>
      </c>
      <c r="B63" s="20"/>
      <c r="C63" s="142" t="s">
        <v>14</v>
      </c>
      <c r="D63" s="142" t="s">
        <v>511</v>
      </c>
      <c r="E63" s="141">
        <v>8</v>
      </c>
      <c r="F63" s="146"/>
      <c r="G63" s="142" t="s">
        <v>842</v>
      </c>
      <c r="H63" s="142"/>
      <c r="I63" s="142"/>
      <c r="J63" s="157" t="s">
        <v>843</v>
      </c>
      <c r="K63" s="69"/>
      <c r="L63" s="69">
        <v>1.6</v>
      </c>
      <c r="M63" s="20" t="s">
        <v>1436</v>
      </c>
      <c r="N63" s="69" cm="1">
        <f t="array" ref="N63">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5.4592000000000001</v>
      </c>
      <c r="O63" s="43"/>
      <c r="P63" s="74"/>
    </row>
    <row r="64" spans="1:16" ht="90" x14ac:dyDescent="0.25">
      <c r="A64" s="141">
        <v>90</v>
      </c>
      <c r="B64" s="20"/>
      <c r="C64" s="142" t="s">
        <v>14</v>
      </c>
      <c r="D64" s="142" t="s">
        <v>512</v>
      </c>
      <c r="E64" s="141">
        <v>6</v>
      </c>
      <c r="F64" s="146"/>
      <c r="G64" s="142" t="s">
        <v>847</v>
      </c>
      <c r="H64" s="142"/>
      <c r="I64" s="142"/>
      <c r="J64" s="157" t="s">
        <v>848</v>
      </c>
      <c r="K64" s="69"/>
      <c r="L64" s="69">
        <v>2</v>
      </c>
      <c r="M64" s="20" t="s">
        <v>1436</v>
      </c>
      <c r="N64" s="69" cm="1">
        <f t="array" ref="N64">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6.8239999999999998</v>
      </c>
      <c r="O64" s="43"/>
      <c r="P64" s="74"/>
    </row>
    <row r="65" spans="1:16" x14ac:dyDescent="0.25">
      <c r="A65" s="141">
        <v>92</v>
      </c>
      <c r="B65" s="20" t="s">
        <v>355</v>
      </c>
      <c r="C65" s="142" t="s">
        <v>14</v>
      </c>
      <c r="D65" s="142" t="s">
        <v>514</v>
      </c>
      <c r="E65" s="141">
        <v>1</v>
      </c>
      <c r="F65" s="146"/>
      <c r="G65" s="142" t="s">
        <v>515</v>
      </c>
      <c r="H65" s="142"/>
      <c r="I65" s="142"/>
      <c r="J65" s="157" t="s">
        <v>846</v>
      </c>
      <c r="K65" s="69"/>
      <c r="L65" s="69">
        <v>0.6</v>
      </c>
      <c r="M65" s="20" t="s">
        <v>1436</v>
      </c>
      <c r="N65" s="69" cm="1">
        <f t="array" ref="N65">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2.0471999999999997</v>
      </c>
      <c r="O65" s="43"/>
      <c r="P65" s="74"/>
    </row>
    <row r="66" spans="1:16" x14ac:dyDescent="0.25">
      <c r="A66" s="141">
        <v>93</v>
      </c>
      <c r="B66" s="20" t="s">
        <v>355</v>
      </c>
      <c r="C66" s="142" t="s">
        <v>14</v>
      </c>
      <c r="D66" s="142" t="s">
        <v>516</v>
      </c>
      <c r="E66" s="141">
        <v>1</v>
      </c>
      <c r="F66" s="146"/>
      <c r="G66" s="142" t="s">
        <v>517</v>
      </c>
      <c r="H66" s="142"/>
      <c r="I66" s="142"/>
      <c r="J66" s="157" t="s">
        <v>845</v>
      </c>
      <c r="K66" s="69"/>
      <c r="L66" s="69">
        <v>0.75</v>
      </c>
      <c r="M66" s="20" t="s">
        <v>1436</v>
      </c>
      <c r="N66" s="69" cm="1">
        <f t="array" ref="N66">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2.5590000000000002</v>
      </c>
      <c r="O66" s="43"/>
      <c r="P66" s="74"/>
    </row>
    <row r="67" spans="1:16" x14ac:dyDescent="0.25">
      <c r="A67" s="141">
        <v>94</v>
      </c>
      <c r="B67" s="20" t="s">
        <v>353</v>
      </c>
      <c r="C67" s="142" t="s">
        <v>14</v>
      </c>
      <c r="D67" s="142" t="s">
        <v>518</v>
      </c>
      <c r="E67" s="141">
        <v>1</v>
      </c>
      <c r="F67" s="146"/>
      <c r="G67" s="142" t="s">
        <v>519</v>
      </c>
      <c r="H67" s="142"/>
      <c r="I67" s="142"/>
      <c r="J67" s="157" t="s">
        <v>856</v>
      </c>
      <c r="K67" s="69"/>
      <c r="L67" s="69">
        <v>36.700000000000003</v>
      </c>
      <c r="M67" s="20" t="s">
        <v>1436</v>
      </c>
      <c r="N67" s="69" cm="1">
        <f t="array" ref="N67">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125.22040000000001</v>
      </c>
      <c r="O67" s="43"/>
      <c r="P67" s="74"/>
    </row>
    <row r="68" spans="1:16" x14ac:dyDescent="0.25">
      <c r="A68" s="141">
        <v>104</v>
      </c>
      <c r="B68" s="20" t="s">
        <v>354</v>
      </c>
      <c r="C68" s="142" t="s">
        <v>14</v>
      </c>
      <c r="D68" s="142" t="s">
        <v>17</v>
      </c>
      <c r="E68" s="141">
        <v>1</v>
      </c>
      <c r="F68" s="146" t="s">
        <v>1099</v>
      </c>
      <c r="G68" s="142" t="s">
        <v>16</v>
      </c>
      <c r="H68" s="142"/>
      <c r="I68" s="142"/>
      <c r="J68" s="157" t="s">
        <v>866</v>
      </c>
      <c r="K68" s="69"/>
      <c r="L68" s="69">
        <v>50</v>
      </c>
      <c r="M68" s="20" t="s">
        <v>1436</v>
      </c>
      <c r="N68" s="69" cm="1">
        <f t="array" ref="N68">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170.6</v>
      </c>
      <c r="O68" s="43"/>
      <c r="P68" s="74"/>
    </row>
    <row r="69" spans="1:16" ht="30" x14ac:dyDescent="0.25">
      <c r="A69" s="141">
        <v>105</v>
      </c>
      <c r="B69" s="20" t="s">
        <v>353</v>
      </c>
      <c r="C69" s="142" t="s">
        <v>14</v>
      </c>
      <c r="D69" s="142" t="s">
        <v>531</v>
      </c>
      <c r="E69" s="141">
        <v>2</v>
      </c>
      <c r="F69" s="146"/>
      <c r="G69" s="142" t="s">
        <v>790</v>
      </c>
      <c r="H69" s="142"/>
      <c r="I69" s="142"/>
      <c r="J69" s="157" t="s">
        <v>833</v>
      </c>
      <c r="K69" s="69"/>
      <c r="L69" s="69"/>
      <c r="M69" s="20"/>
      <c r="N69" s="69" t="str" cm="1">
        <f t="array" ref="N69">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69" s="43"/>
      <c r="P69" s="74" t="s">
        <v>1464</v>
      </c>
    </row>
    <row r="70" spans="1:16" x14ac:dyDescent="0.25">
      <c r="A70" s="141">
        <v>106</v>
      </c>
      <c r="B70" s="20" t="s">
        <v>353</v>
      </c>
      <c r="C70" s="142" t="s">
        <v>14</v>
      </c>
      <c r="D70" s="142" t="s">
        <v>532</v>
      </c>
      <c r="E70" s="141">
        <v>1</v>
      </c>
      <c r="F70" s="146"/>
      <c r="G70" s="142" t="s">
        <v>834</v>
      </c>
      <c r="H70" s="142"/>
      <c r="I70" s="142"/>
      <c r="J70" s="157" t="s">
        <v>835</v>
      </c>
      <c r="K70" s="69"/>
      <c r="L70" s="69"/>
      <c r="M70" s="20"/>
      <c r="N70" s="69" t="str" cm="1">
        <f t="array" ref="N70">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70" s="43"/>
      <c r="P70" s="74" t="s">
        <v>1464</v>
      </c>
    </row>
    <row r="71" spans="1:16" ht="60" x14ac:dyDescent="0.25">
      <c r="A71" s="141">
        <v>107</v>
      </c>
      <c r="B71" s="20" t="s">
        <v>353</v>
      </c>
      <c r="C71" s="142" t="s">
        <v>14</v>
      </c>
      <c r="D71" s="142" t="s">
        <v>533</v>
      </c>
      <c r="E71" s="141">
        <v>3</v>
      </c>
      <c r="F71" s="146"/>
      <c r="G71" s="142" t="s">
        <v>534</v>
      </c>
      <c r="H71" s="142"/>
      <c r="I71" s="142"/>
      <c r="J71" s="157" t="s">
        <v>830</v>
      </c>
      <c r="K71" s="69"/>
      <c r="L71" s="116">
        <v>1.8</v>
      </c>
      <c r="M71" s="20" t="s">
        <v>1436</v>
      </c>
      <c r="N71" s="69" cm="1">
        <f t="array" ref="N7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6.1416000000000004</v>
      </c>
      <c r="O71" s="43"/>
      <c r="P71" s="74"/>
    </row>
    <row r="72" spans="1:16" ht="30" x14ac:dyDescent="0.25">
      <c r="A72" s="141">
        <v>108</v>
      </c>
      <c r="B72" s="20" t="s">
        <v>353</v>
      </c>
      <c r="C72" s="142" t="s">
        <v>14</v>
      </c>
      <c r="D72" s="142" t="s">
        <v>535</v>
      </c>
      <c r="E72" s="141">
        <v>1</v>
      </c>
      <c r="F72" s="146"/>
      <c r="G72" s="142" t="s">
        <v>536</v>
      </c>
      <c r="H72" s="142"/>
      <c r="I72" s="142"/>
      <c r="J72" s="157" t="s">
        <v>832</v>
      </c>
      <c r="K72" s="69"/>
      <c r="L72" s="116">
        <v>4.5</v>
      </c>
      <c r="M72" s="20" t="s">
        <v>1436</v>
      </c>
      <c r="N72" s="69" cm="1">
        <f t="array" ref="N72">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15.353999999999999</v>
      </c>
      <c r="O72" s="43"/>
      <c r="P72" s="74"/>
    </row>
    <row r="73" spans="1:16" ht="60" x14ac:dyDescent="0.25">
      <c r="A73" s="141">
        <v>109</v>
      </c>
      <c r="B73" s="20" t="s">
        <v>353</v>
      </c>
      <c r="C73" s="142" t="s">
        <v>14</v>
      </c>
      <c r="D73" s="142" t="s">
        <v>537</v>
      </c>
      <c r="E73" s="141">
        <v>4</v>
      </c>
      <c r="F73" s="146"/>
      <c r="G73" s="142" t="s">
        <v>711</v>
      </c>
      <c r="H73" s="142"/>
      <c r="I73" s="142"/>
      <c r="J73" s="157" t="s">
        <v>821</v>
      </c>
      <c r="K73" s="69"/>
      <c r="L73" s="69">
        <v>4.0599999999999996</v>
      </c>
      <c r="M73" s="20" t="s">
        <v>1436</v>
      </c>
      <c r="N73" s="69" cm="1">
        <f t="array" ref="N73">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13.852719999999998</v>
      </c>
      <c r="O73" s="43"/>
      <c r="P73" s="74"/>
    </row>
    <row r="74" spans="1:16" ht="90" x14ac:dyDescent="0.25">
      <c r="A74" s="141">
        <v>112</v>
      </c>
      <c r="B74" s="20" t="s">
        <v>355</v>
      </c>
      <c r="C74" s="142" t="s">
        <v>14</v>
      </c>
      <c r="D74" s="142" t="s">
        <v>542</v>
      </c>
      <c r="E74" s="141">
        <v>12</v>
      </c>
      <c r="F74" s="146"/>
      <c r="G74" s="142" t="s">
        <v>867</v>
      </c>
      <c r="H74" s="142"/>
      <c r="I74" s="142"/>
      <c r="J74" s="157" t="s">
        <v>868</v>
      </c>
      <c r="K74" s="69"/>
      <c r="L74" s="69">
        <v>0.5</v>
      </c>
      <c r="M74" s="20" t="s">
        <v>1436</v>
      </c>
      <c r="N74" s="69" cm="1">
        <f t="array" ref="N74">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1.706</v>
      </c>
      <c r="O74" s="43"/>
      <c r="P74" s="74"/>
    </row>
    <row r="75" spans="1:16" x14ac:dyDescent="0.25">
      <c r="A75" s="141">
        <v>114</v>
      </c>
      <c r="B75" s="20" t="s">
        <v>353</v>
      </c>
      <c r="C75" s="142" t="s">
        <v>14</v>
      </c>
      <c r="D75" s="142" t="s">
        <v>544</v>
      </c>
      <c r="E75" s="141">
        <v>1</v>
      </c>
      <c r="F75" s="146"/>
      <c r="G75" s="142" t="s">
        <v>545</v>
      </c>
      <c r="H75" s="142"/>
      <c r="I75" s="142"/>
      <c r="J75" s="157" t="s">
        <v>831</v>
      </c>
      <c r="K75" s="69"/>
      <c r="L75" s="116">
        <v>1.9</v>
      </c>
      <c r="M75" s="20" t="s">
        <v>1436</v>
      </c>
      <c r="N75" s="69" cm="1">
        <f t="array" ref="N75">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6.4827999999999992</v>
      </c>
      <c r="O75" s="43"/>
      <c r="P75" s="74"/>
    </row>
    <row r="76" spans="1:16" x14ac:dyDescent="0.25">
      <c r="A76" s="141">
        <v>115</v>
      </c>
      <c r="B76" s="20" t="s">
        <v>353</v>
      </c>
      <c r="C76" s="142" t="s">
        <v>14</v>
      </c>
      <c r="D76" s="142" t="s">
        <v>546</v>
      </c>
      <c r="E76" s="141">
        <v>1</v>
      </c>
      <c r="F76" s="146"/>
      <c r="G76" s="142" t="s">
        <v>547</v>
      </c>
      <c r="H76" s="142"/>
      <c r="I76" s="142"/>
      <c r="J76" s="157" t="s">
        <v>827</v>
      </c>
      <c r="K76" s="69"/>
      <c r="L76" s="116">
        <v>1.4</v>
      </c>
      <c r="M76" s="20" t="s">
        <v>1436</v>
      </c>
      <c r="N76" s="69" cm="1">
        <f t="array" ref="N76">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4.7767999999999997</v>
      </c>
      <c r="O76" s="43"/>
      <c r="P76" s="74"/>
    </row>
    <row r="77" spans="1:16" ht="60" x14ac:dyDescent="0.25">
      <c r="A77" s="141">
        <v>116</v>
      </c>
      <c r="B77" s="20" t="s">
        <v>353</v>
      </c>
      <c r="C77" s="142" t="s">
        <v>14</v>
      </c>
      <c r="D77" s="142" t="s">
        <v>548</v>
      </c>
      <c r="E77" s="141">
        <v>4</v>
      </c>
      <c r="F77" s="146"/>
      <c r="G77" s="142" t="s">
        <v>549</v>
      </c>
      <c r="H77" s="142"/>
      <c r="I77" s="142"/>
      <c r="J77" s="157" t="s">
        <v>828</v>
      </c>
      <c r="K77" s="69"/>
      <c r="L77" s="116">
        <v>1.8</v>
      </c>
      <c r="M77" s="20" t="s">
        <v>1436</v>
      </c>
      <c r="N77" s="69" cm="1">
        <f t="array" ref="N77">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6.1416000000000004</v>
      </c>
      <c r="O77" s="43"/>
      <c r="P77" s="117"/>
    </row>
    <row r="78" spans="1:16" ht="90" x14ac:dyDescent="0.25">
      <c r="A78" s="141">
        <v>117</v>
      </c>
      <c r="B78" s="20"/>
      <c r="C78" s="142" t="s">
        <v>14</v>
      </c>
      <c r="D78" s="142" t="s">
        <v>550</v>
      </c>
      <c r="E78" s="141">
        <v>7</v>
      </c>
      <c r="F78" s="146"/>
      <c r="G78" s="142" t="s">
        <v>551</v>
      </c>
      <c r="H78" s="142"/>
      <c r="I78" s="142"/>
      <c r="J78" s="157" t="s">
        <v>829</v>
      </c>
      <c r="K78" s="69"/>
      <c r="L78" s="116">
        <v>1.6</v>
      </c>
      <c r="M78" s="20" t="s">
        <v>1436</v>
      </c>
      <c r="N78" s="69" cm="1">
        <f t="array" ref="N78">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5.4592000000000001</v>
      </c>
      <c r="O78" s="43"/>
      <c r="P78" s="74"/>
    </row>
    <row r="79" spans="1:16" x14ac:dyDescent="0.25">
      <c r="A79" s="141">
        <v>118</v>
      </c>
      <c r="B79" s="20" t="s">
        <v>353</v>
      </c>
      <c r="C79" s="142" t="s">
        <v>14</v>
      </c>
      <c r="D79" s="142" t="s">
        <v>552</v>
      </c>
      <c r="E79" s="141">
        <v>1</v>
      </c>
      <c r="F79" s="146"/>
      <c r="G79" s="142" t="s">
        <v>136</v>
      </c>
      <c r="H79" s="142"/>
      <c r="I79" s="142"/>
      <c r="J79" s="157" t="s">
        <v>838</v>
      </c>
      <c r="K79" s="69">
        <v>500</v>
      </c>
      <c r="L79" s="69">
        <v>57.1</v>
      </c>
      <c r="M79" s="20" t="s">
        <v>1436</v>
      </c>
      <c r="N79" s="69" cm="1">
        <f t="array" ref="N79">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194.8252</v>
      </c>
      <c r="O79" s="43"/>
      <c r="P79" s="74"/>
    </row>
    <row r="80" spans="1:16" ht="75" x14ac:dyDescent="0.25">
      <c r="A80" s="141">
        <v>126</v>
      </c>
      <c r="B80" s="20" t="s">
        <v>353</v>
      </c>
      <c r="C80" s="142" t="s">
        <v>555</v>
      </c>
      <c r="D80" s="142" t="s">
        <v>562</v>
      </c>
      <c r="E80" s="141">
        <v>5</v>
      </c>
      <c r="F80" s="146"/>
      <c r="G80" s="142" t="s">
        <v>563</v>
      </c>
      <c r="H80" s="142"/>
      <c r="I80" s="142"/>
      <c r="J80" s="157" t="s">
        <v>875</v>
      </c>
      <c r="K80" s="69"/>
      <c r="L80" s="69">
        <v>14.4</v>
      </c>
      <c r="M80" s="20" t="s">
        <v>1436</v>
      </c>
      <c r="N80" s="69" cm="1">
        <f t="array" ref="N80">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49.132800000000003</v>
      </c>
      <c r="O80" s="43"/>
      <c r="P80" s="74"/>
    </row>
    <row r="81" spans="1:16" ht="30" x14ac:dyDescent="0.25">
      <c r="A81" s="141">
        <v>140</v>
      </c>
      <c r="B81" s="20" t="s">
        <v>1440</v>
      </c>
      <c r="C81" s="142" t="s">
        <v>39</v>
      </c>
      <c r="D81" s="142" t="s">
        <v>40</v>
      </c>
      <c r="E81" s="141">
        <v>2</v>
      </c>
      <c r="F81" s="146" t="s">
        <v>1149</v>
      </c>
      <c r="G81" s="142"/>
      <c r="H81" s="142" t="s">
        <v>1037</v>
      </c>
      <c r="I81" s="142"/>
      <c r="J81" s="157" t="s">
        <v>585</v>
      </c>
      <c r="K81" s="69"/>
      <c r="L81" s="69"/>
      <c r="M81" s="20"/>
      <c r="N81" s="69" t="str" cm="1">
        <f t="array" ref="N81">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1" s="43"/>
      <c r="P81" s="74"/>
    </row>
    <row r="82" spans="1:16" ht="30" x14ac:dyDescent="0.25">
      <c r="A82" s="141">
        <v>141</v>
      </c>
      <c r="B82" s="20" t="s">
        <v>377</v>
      </c>
      <c r="C82" s="142" t="s">
        <v>93</v>
      </c>
      <c r="D82" s="142" t="s">
        <v>100</v>
      </c>
      <c r="E82" s="141">
        <v>2</v>
      </c>
      <c r="F82" s="146" t="s">
        <v>1141</v>
      </c>
      <c r="G82" s="142"/>
      <c r="H82" s="142" t="s">
        <v>586</v>
      </c>
      <c r="I82" s="142"/>
      <c r="J82" s="157" t="s">
        <v>587</v>
      </c>
      <c r="K82" s="69"/>
      <c r="L82" s="69"/>
      <c r="M82" s="20"/>
      <c r="N82" s="69" t="str" cm="1">
        <f t="array" ref="N82">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2" s="43"/>
      <c r="P82" s="74"/>
    </row>
    <row r="83" spans="1:16" ht="30" x14ac:dyDescent="0.25">
      <c r="A83" s="141">
        <v>142</v>
      </c>
      <c r="B83" s="20" t="s">
        <v>377</v>
      </c>
      <c r="C83" s="142" t="s">
        <v>93</v>
      </c>
      <c r="D83" s="142" t="s">
        <v>94</v>
      </c>
      <c r="E83" s="141">
        <v>1</v>
      </c>
      <c r="F83" s="146" t="s">
        <v>1142</v>
      </c>
      <c r="G83" s="142"/>
      <c r="H83" s="142" t="s">
        <v>588</v>
      </c>
      <c r="I83" s="142"/>
      <c r="J83" s="157" t="s">
        <v>589</v>
      </c>
      <c r="K83" s="69"/>
      <c r="L83" s="69"/>
      <c r="M83" s="20"/>
      <c r="N83" s="69" t="str" cm="1">
        <f t="array" ref="N83">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3" s="43"/>
      <c r="P83" s="74"/>
    </row>
    <row r="84" spans="1:16" ht="30" x14ac:dyDescent="0.25">
      <c r="A84" s="141">
        <v>143</v>
      </c>
      <c r="B84" s="20" t="s">
        <v>1440</v>
      </c>
      <c r="C84" s="142" t="s">
        <v>91</v>
      </c>
      <c r="D84" s="142" t="s">
        <v>92</v>
      </c>
      <c r="E84" s="141">
        <v>1</v>
      </c>
      <c r="F84" s="146" t="s">
        <v>1144</v>
      </c>
      <c r="G84" s="142"/>
      <c r="H84" s="142" t="s">
        <v>590</v>
      </c>
      <c r="I84" s="142"/>
      <c r="J84" s="157" t="s">
        <v>591</v>
      </c>
      <c r="K84" s="69"/>
      <c r="L84" s="69"/>
      <c r="M84" s="20"/>
      <c r="N84" s="69" t="str" cm="1">
        <f t="array" ref="N84">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4" s="43"/>
      <c r="P84" s="74"/>
    </row>
    <row r="85" spans="1:16" ht="45" x14ac:dyDescent="0.25">
      <c r="A85" s="141">
        <v>144</v>
      </c>
      <c r="B85" s="20" t="s">
        <v>377</v>
      </c>
      <c r="C85" s="142" t="s">
        <v>29</v>
      </c>
      <c r="D85" s="142" t="s">
        <v>103</v>
      </c>
      <c r="E85" s="141">
        <v>2</v>
      </c>
      <c r="F85" s="146" t="s">
        <v>1140</v>
      </c>
      <c r="G85" s="142"/>
      <c r="H85" s="142" t="s">
        <v>586</v>
      </c>
      <c r="I85" s="142"/>
      <c r="J85" s="157" t="s">
        <v>592</v>
      </c>
      <c r="K85" s="69"/>
      <c r="L85" s="69"/>
      <c r="M85" s="20"/>
      <c r="N85" s="69" t="str" cm="1">
        <f t="array" ref="N85">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5" s="43"/>
      <c r="P85" s="74"/>
    </row>
    <row r="86" spans="1:16" ht="30" x14ac:dyDescent="0.25">
      <c r="A86" s="141">
        <v>145</v>
      </c>
      <c r="B86" s="20" t="s">
        <v>377</v>
      </c>
      <c r="C86" s="142" t="s">
        <v>29</v>
      </c>
      <c r="D86" s="142" t="s">
        <v>95</v>
      </c>
      <c r="E86" s="141">
        <v>1</v>
      </c>
      <c r="F86" s="146" t="s">
        <v>1143</v>
      </c>
      <c r="G86" s="142"/>
      <c r="H86" s="142" t="s">
        <v>588</v>
      </c>
      <c r="I86" s="142"/>
      <c r="J86" s="157" t="s">
        <v>593</v>
      </c>
      <c r="K86" s="69"/>
      <c r="L86" s="69"/>
      <c r="M86" s="20"/>
      <c r="N86" s="69" t="str" cm="1">
        <f t="array" ref="N86">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6" s="43"/>
      <c r="P86" s="74"/>
    </row>
    <row r="87" spans="1:16" ht="30" x14ac:dyDescent="0.25">
      <c r="A87" s="141">
        <v>156</v>
      </c>
      <c r="B87" s="20" t="s">
        <v>377</v>
      </c>
      <c r="C87" s="142" t="s">
        <v>24</v>
      </c>
      <c r="D87" s="142" t="s">
        <v>25</v>
      </c>
      <c r="E87" s="141">
        <v>1</v>
      </c>
      <c r="F87" s="146" t="s">
        <v>23</v>
      </c>
      <c r="G87" s="142"/>
      <c r="H87" s="142" t="s">
        <v>588</v>
      </c>
      <c r="I87" s="142"/>
      <c r="J87" s="157" t="s">
        <v>615</v>
      </c>
      <c r="K87" s="69"/>
      <c r="L87" s="69"/>
      <c r="M87" s="20"/>
      <c r="N87" s="69" t="str" cm="1">
        <f t="array" ref="N87">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7" s="43"/>
      <c r="P87" s="74"/>
    </row>
    <row r="88" spans="1:16" x14ac:dyDescent="0.25">
      <c r="A88" s="141">
        <v>157</v>
      </c>
      <c r="B88" s="20" t="s">
        <v>377</v>
      </c>
      <c r="C88" s="142" t="s">
        <v>24</v>
      </c>
      <c r="D88" s="142" t="s">
        <v>34</v>
      </c>
      <c r="E88" s="141">
        <v>2</v>
      </c>
      <c r="F88" s="146" t="s">
        <v>1124</v>
      </c>
      <c r="G88" s="142"/>
      <c r="H88" s="142" t="s">
        <v>616</v>
      </c>
      <c r="I88" s="142"/>
      <c r="J88" s="157" t="s">
        <v>617</v>
      </c>
      <c r="K88" s="69"/>
      <c r="L88" s="69"/>
      <c r="M88" s="20"/>
      <c r="N88" s="69" t="str" cm="1">
        <f t="array" ref="N88">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8" s="43"/>
      <c r="P88" s="74"/>
    </row>
    <row r="89" spans="1:16" ht="30.75" thickBot="1" x14ac:dyDescent="0.3">
      <c r="A89" s="141">
        <v>158</v>
      </c>
      <c r="B89" s="20" t="s">
        <v>1440</v>
      </c>
      <c r="C89" s="142" t="s">
        <v>24</v>
      </c>
      <c r="D89" s="142" t="s">
        <v>50</v>
      </c>
      <c r="E89" s="141">
        <v>4</v>
      </c>
      <c r="F89" s="147" t="s">
        <v>1125</v>
      </c>
      <c r="G89" s="148"/>
      <c r="H89" s="148" t="s">
        <v>618</v>
      </c>
      <c r="I89" s="148"/>
      <c r="J89" s="158" t="s">
        <v>1459</v>
      </c>
      <c r="K89" s="69"/>
      <c r="L89" s="69"/>
      <c r="M89" s="20"/>
      <c r="N89" s="69" t="str" cm="1">
        <f t="array" ref="N89">_xlfn.LET(
  _xlpm.pwr, Heat_Noise[[#This Row],[Power (W or VA)]],
  _xlpm.val, Heat_Noise[[#This Row],[Max Efficiency or Losses]],
  _xlpm.u,   Heat_Noise[[#This Row],[Efficiency / Loss Units]],
  _xlpm.eff, IF(_xlpm.val&gt;1, _xlpm.val/100, _xlpm.val),
  _xlpm.lossW,
    _xlfn.SWITCH(_xlpm.u,
      "W",      _xlpm.val,
      "kW",     _xlpm.val*1000,
      "HP",     _xlpm.val*745.7,
      "BTU/hr", _xlpm.val/3.412,
      "%",      _xlpm.pwr*(1-_xlpm.eff),
      NA()
    ),
  IFERROR(_xlpm.lossW*3.412, "")
)</f>
        <v/>
      </c>
      <c r="O89" s="43"/>
      <c r="P89" s="74"/>
    </row>
  </sheetData>
  <sheetProtection sheet="1" formatColumns="0" formatRows="0" insertRows="0" sort="0" autoFilter="0"/>
  <mergeCells count="19">
    <mergeCell ref="F1:H1"/>
    <mergeCell ref="A5:B5"/>
    <mergeCell ref="C5:D5"/>
    <mergeCell ref="A6:B6"/>
    <mergeCell ref="C6:D6"/>
    <mergeCell ref="F2:G2"/>
    <mergeCell ref="F3:G3"/>
    <mergeCell ref="A1:D1"/>
    <mergeCell ref="A2:B2"/>
    <mergeCell ref="C2:D2"/>
    <mergeCell ref="A3:B3"/>
    <mergeCell ref="C3:D3"/>
    <mergeCell ref="A4:B4"/>
    <mergeCell ref="C4:D4"/>
    <mergeCell ref="P10:Z10"/>
    <mergeCell ref="P12:Z12"/>
    <mergeCell ref="P9:Z9"/>
    <mergeCell ref="F4:G4"/>
    <mergeCell ref="F5:G5"/>
  </mergeCells>
  <dataValidations count="2">
    <dataValidation type="list" allowBlank="1" showInputMessage="1" showErrorMessage="1" sqref="B20:B89" xr:uid="{CC2972BC-9E7E-432E-980D-042DAC253A07}">
      <formula1>$C$9:$C$14</formula1>
    </dataValidation>
    <dataValidation type="list" allowBlank="1" showInputMessage="1" showErrorMessage="1" sqref="M20:M89" xr:uid="{9D3ACD1A-BF79-4EAF-B822-9488B82DFB55}">
      <formula1>"%, HP, W, kW, BTU/hr"</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6202D-42BE-407A-A651-2DE812DF9033}">
  <sheetPr codeName="Sheet7"/>
  <dimension ref="A1:D6"/>
  <sheetViews>
    <sheetView workbookViewId="0">
      <selection activeCell="G11" sqref="G11"/>
    </sheetView>
  </sheetViews>
  <sheetFormatPr defaultRowHeight="15" x14ac:dyDescent="0.25"/>
  <cols>
    <col min="1" max="3" width="9.140625" style="7"/>
    <col min="4" max="4" width="23.85546875" style="7" customWidth="1"/>
    <col min="5" max="16384" width="9.140625" style="7"/>
  </cols>
  <sheetData>
    <row r="1" spans="1:4" ht="15.75" thickBot="1" x14ac:dyDescent="0.3">
      <c r="A1" s="81" t="s">
        <v>344</v>
      </c>
      <c r="B1" s="82"/>
      <c r="C1" s="82"/>
      <c r="D1" s="83"/>
    </row>
    <row r="2" spans="1:4" x14ac:dyDescent="0.25">
      <c r="A2" s="77" t="s">
        <v>345</v>
      </c>
      <c r="B2" s="84"/>
      <c r="C2" s="89">
        <f>Proj_Number</f>
        <v>20570</v>
      </c>
      <c r="D2" s="90"/>
    </row>
    <row r="3" spans="1:4" x14ac:dyDescent="0.25">
      <c r="A3" s="77" t="s">
        <v>346</v>
      </c>
      <c r="B3" s="84"/>
      <c r="C3" s="85" t="str">
        <f>Proj_Customer</f>
        <v>Company</v>
      </c>
      <c r="D3" s="86"/>
    </row>
    <row r="4" spans="1:4" x14ac:dyDescent="0.25">
      <c r="A4" s="77" t="s">
        <v>347</v>
      </c>
      <c r="B4" s="84"/>
      <c r="C4" s="85" t="str">
        <f>Proj_Name</f>
        <v>600HP Face Reversing 4H Rolling Mill</v>
      </c>
      <c r="D4" s="86"/>
    </row>
    <row r="5" spans="1:4" x14ac:dyDescent="0.25">
      <c r="A5" s="77" t="s">
        <v>348</v>
      </c>
      <c r="B5" s="84"/>
      <c r="C5" s="85" t="str">
        <f>Proj_Specifications</f>
        <v>480VAC/60Hz/3P(Δ), 1200 AMP</v>
      </c>
      <c r="D5" s="86"/>
    </row>
    <row r="6" spans="1:4" ht="15.75" thickBot="1" x14ac:dyDescent="0.3">
      <c r="A6" s="79" t="s">
        <v>349</v>
      </c>
      <c r="B6" s="80"/>
      <c r="C6" s="87">
        <f>Last_Synced</f>
        <v>46073.355636574073</v>
      </c>
      <c r="D6" s="88"/>
    </row>
  </sheetData>
  <mergeCells count="11">
    <mergeCell ref="A5:B5"/>
    <mergeCell ref="C5:D5"/>
    <mergeCell ref="A6:B6"/>
    <mergeCell ref="C6:D6"/>
    <mergeCell ref="A1:D1"/>
    <mergeCell ref="A2:B2"/>
    <mergeCell ref="C2:D2"/>
    <mergeCell ref="A3:B3"/>
    <mergeCell ref="C3:D3"/>
    <mergeCell ref="A4:B4"/>
    <mergeCell ref="C4:D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5070-D43C-4A79-A505-7CB03655513F}">
  <sheetPr codeName="Sheet8"/>
  <dimension ref="A1:K226"/>
  <sheetViews>
    <sheetView zoomScale="85" zoomScaleNormal="85" workbookViewId="0">
      <selection activeCell="F21" sqref="F21"/>
    </sheetView>
  </sheetViews>
  <sheetFormatPr defaultRowHeight="15" x14ac:dyDescent="0.25"/>
  <cols>
    <col min="1" max="1" width="14.140625" style="2" bestFit="1" customWidth="1"/>
    <col min="2" max="2" width="7.7109375" style="2" bestFit="1" customWidth="1"/>
    <col min="3" max="3" width="9" style="2" bestFit="1" customWidth="1"/>
    <col min="4" max="4" width="22.140625" style="2" bestFit="1" customWidth="1"/>
    <col min="5" max="5" width="39" style="2" bestFit="1" customWidth="1"/>
    <col min="6" max="6" width="81.140625" style="2" bestFit="1" customWidth="1"/>
    <col min="7" max="7" width="11.42578125" style="2" bestFit="1" customWidth="1"/>
    <col min="8" max="8" width="7" style="2" bestFit="1" customWidth="1"/>
    <col min="9" max="9" width="8.5703125" style="2" bestFit="1" customWidth="1"/>
    <col min="10" max="11" width="81.140625" style="2" bestFit="1" customWidth="1"/>
    <col min="12" max="12" width="67.7109375" style="2" bestFit="1" customWidth="1"/>
    <col min="13" max="16384" width="9.140625" style="2"/>
  </cols>
  <sheetData>
    <row r="1" spans="1:11" ht="60.75" customHeight="1" x14ac:dyDescent="0.25">
      <c r="D1" s="76" t="s">
        <v>398</v>
      </c>
      <c r="E1" s="76"/>
      <c r="F1" s="76"/>
      <c r="G1" s="76"/>
      <c r="H1" s="76"/>
      <c r="I1" s="76"/>
      <c r="J1" s="76"/>
    </row>
    <row r="3" spans="1:11" x14ac:dyDescent="0.25">
      <c r="A3" s="2" t="s">
        <v>386</v>
      </c>
      <c r="B3" s="2" t="s">
        <v>392</v>
      </c>
      <c r="C3" s="2" t="s">
        <v>115</v>
      </c>
      <c r="D3" s="2" t="s">
        <v>0</v>
      </c>
      <c r="E3" s="2" t="s">
        <v>1</v>
      </c>
      <c r="F3" t="s">
        <v>2</v>
      </c>
      <c r="G3" s="2" t="s">
        <v>390</v>
      </c>
      <c r="H3" s="2" t="s">
        <v>332</v>
      </c>
      <c r="I3" s="2" t="s">
        <v>399</v>
      </c>
      <c r="J3" s="2" t="s">
        <v>387</v>
      </c>
      <c r="K3" s="2" t="s">
        <v>388</v>
      </c>
    </row>
    <row r="4" spans="1:11" x14ac:dyDescent="0.25">
      <c r="A4" s="7" t="s">
        <v>400</v>
      </c>
      <c r="B4" s="7">
        <v>1</v>
      </c>
      <c r="C4" s="7">
        <v>12</v>
      </c>
      <c r="D4" s="7" t="s">
        <v>403</v>
      </c>
      <c r="E4" s="7" t="s">
        <v>404</v>
      </c>
      <c r="F4" t="s">
        <v>1467</v>
      </c>
      <c r="G4" s="7">
        <v>1</v>
      </c>
      <c r="H4" s="7">
        <v>5</v>
      </c>
      <c r="I4" s="7">
        <v>5</v>
      </c>
      <c r="J4" s="7" t="s">
        <v>405</v>
      </c>
      <c r="K4" s="7" t="s">
        <v>754</v>
      </c>
    </row>
    <row r="5" spans="1:11" x14ac:dyDescent="0.25">
      <c r="A5" s="7" t="s">
        <v>400</v>
      </c>
      <c r="B5" s="7">
        <v>2</v>
      </c>
      <c r="C5" s="7">
        <v>12</v>
      </c>
      <c r="D5" s="7" t="s">
        <v>401</v>
      </c>
      <c r="E5" s="7" t="s">
        <v>416</v>
      </c>
      <c r="F5" t="s">
        <v>1468</v>
      </c>
      <c r="G5" s="7">
        <v>1</v>
      </c>
      <c r="H5" s="7">
        <v>1</v>
      </c>
      <c r="I5" s="7">
        <v>1</v>
      </c>
      <c r="J5" s="7" t="s">
        <v>417</v>
      </c>
      <c r="K5" s="7" t="s">
        <v>755</v>
      </c>
    </row>
    <row r="6" spans="1:11" x14ac:dyDescent="0.25">
      <c r="A6" s="7" t="s">
        <v>400</v>
      </c>
      <c r="B6" s="7">
        <v>3</v>
      </c>
      <c r="C6" s="7">
        <v>12</v>
      </c>
      <c r="D6" s="7" t="s">
        <v>401</v>
      </c>
      <c r="E6" s="7" t="s">
        <v>402</v>
      </c>
      <c r="F6" t="s">
        <v>1469</v>
      </c>
      <c r="G6" s="7">
        <v>1</v>
      </c>
      <c r="H6" s="7">
        <v>1</v>
      </c>
      <c r="I6" s="7">
        <v>1</v>
      </c>
      <c r="J6" s="7" t="s">
        <v>409</v>
      </c>
      <c r="K6" s="7" t="s">
        <v>756</v>
      </c>
    </row>
    <row r="7" spans="1:11" x14ac:dyDescent="0.25">
      <c r="A7" s="7" t="s">
        <v>400</v>
      </c>
      <c r="B7" s="7">
        <v>4</v>
      </c>
      <c r="C7" s="7">
        <v>12</v>
      </c>
      <c r="D7" s="7" t="s">
        <v>401</v>
      </c>
      <c r="E7" s="7" t="s">
        <v>410</v>
      </c>
      <c r="F7" t="s">
        <v>1470</v>
      </c>
      <c r="G7" s="7">
        <v>1</v>
      </c>
      <c r="H7" s="7">
        <v>1</v>
      </c>
      <c r="I7" s="7">
        <v>1</v>
      </c>
      <c r="J7" s="7" t="s">
        <v>411</v>
      </c>
      <c r="K7" s="7" t="s">
        <v>757</v>
      </c>
    </row>
    <row r="8" spans="1:11" x14ac:dyDescent="0.25">
      <c r="A8" s="7" t="s">
        <v>400</v>
      </c>
      <c r="B8" s="7">
        <v>5</v>
      </c>
      <c r="C8" s="7">
        <v>12</v>
      </c>
      <c r="D8" s="7" t="s">
        <v>401</v>
      </c>
      <c r="E8" s="7" t="s">
        <v>406</v>
      </c>
      <c r="F8" t="s">
        <v>1471</v>
      </c>
      <c r="G8" s="7">
        <v>1</v>
      </c>
      <c r="H8" s="7">
        <v>1</v>
      </c>
      <c r="I8" s="7">
        <v>1</v>
      </c>
      <c r="J8" s="7" t="s">
        <v>407</v>
      </c>
      <c r="K8" s="7" t="s">
        <v>758</v>
      </c>
    </row>
    <row r="9" spans="1:11" x14ac:dyDescent="0.25">
      <c r="A9" s="7" t="s">
        <v>400</v>
      </c>
      <c r="B9" s="7">
        <v>6</v>
      </c>
      <c r="C9" s="7">
        <v>12</v>
      </c>
      <c r="D9" s="7" t="s">
        <v>401</v>
      </c>
      <c r="E9" s="7" t="s">
        <v>412</v>
      </c>
      <c r="F9" t="s">
        <v>1472</v>
      </c>
      <c r="G9" s="7">
        <v>1</v>
      </c>
      <c r="H9" s="7">
        <v>1</v>
      </c>
      <c r="I9" s="7">
        <v>1</v>
      </c>
      <c r="J9" s="7" t="s">
        <v>413</v>
      </c>
      <c r="K9" s="7" t="s">
        <v>759</v>
      </c>
    </row>
    <row r="10" spans="1:11" x14ac:dyDescent="0.25">
      <c r="A10" s="7" t="s">
        <v>400</v>
      </c>
      <c r="B10" s="7">
        <v>7</v>
      </c>
      <c r="C10" s="7">
        <v>12</v>
      </c>
      <c r="D10" s="7" t="s">
        <v>401</v>
      </c>
      <c r="E10" s="7" t="s">
        <v>414</v>
      </c>
      <c r="F10" t="s">
        <v>1473</v>
      </c>
      <c r="G10" s="7">
        <v>1</v>
      </c>
      <c r="H10" s="7">
        <v>1</v>
      </c>
      <c r="I10" s="7">
        <v>1</v>
      </c>
      <c r="J10" s="7" t="s">
        <v>415</v>
      </c>
      <c r="K10" s="7" t="s">
        <v>760</v>
      </c>
    </row>
    <row r="11" spans="1:11" x14ac:dyDescent="0.25">
      <c r="A11" s="7" t="s">
        <v>400</v>
      </c>
      <c r="B11" s="7">
        <v>8</v>
      </c>
      <c r="C11" s="7">
        <v>12</v>
      </c>
      <c r="D11" s="7" t="s">
        <v>401</v>
      </c>
      <c r="E11" s="7" t="s">
        <v>408</v>
      </c>
      <c r="F11" t="s">
        <v>1474</v>
      </c>
      <c r="G11" s="7">
        <v>1</v>
      </c>
      <c r="H11" s="7">
        <v>1</v>
      </c>
      <c r="I11" s="7">
        <v>1</v>
      </c>
      <c r="J11" s="7" t="s">
        <v>409</v>
      </c>
      <c r="K11" s="7" t="s">
        <v>761</v>
      </c>
    </row>
    <row r="12" spans="1:11" x14ac:dyDescent="0.25">
      <c r="A12" s="7" t="s">
        <v>400</v>
      </c>
      <c r="B12" s="7">
        <v>9</v>
      </c>
      <c r="C12" s="7">
        <v>12</v>
      </c>
      <c r="D12" s="7" t="s">
        <v>401</v>
      </c>
      <c r="E12" s="7" t="s">
        <v>418</v>
      </c>
      <c r="F12" t="s">
        <v>1475</v>
      </c>
      <c r="G12" s="7">
        <v>1</v>
      </c>
      <c r="H12" s="7">
        <v>1</v>
      </c>
      <c r="I12" s="7">
        <v>1</v>
      </c>
      <c r="J12" s="7" t="s">
        <v>409</v>
      </c>
      <c r="K12" s="7" t="s">
        <v>762</v>
      </c>
    </row>
    <row r="13" spans="1:11" x14ac:dyDescent="0.25">
      <c r="A13" s="7" t="s">
        <v>400</v>
      </c>
      <c r="B13" s="7">
        <v>10</v>
      </c>
      <c r="C13" s="7">
        <v>12</v>
      </c>
      <c r="D13" s="7" t="s">
        <v>716</v>
      </c>
      <c r="E13" s="7" t="s">
        <v>717</v>
      </c>
      <c r="F13" t="s">
        <v>1476</v>
      </c>
      <c r="G13" s="7">
        <v>1</v>
      </c>
      <c r="H13" s="7">
        <v>3</v>
      </c>
      <c r="I13" s="7">
        <v>3</v>
      </c>
      <c r="J13" s="7" t="s">
        <v>718</v>
      </c>
      <c r="K13" s="7" t="s">
        <v>719</v>
      </c>
    </row>
    <row r="14" spans="1:11" x14ac:dyDescent="0.25">
      <c r="A14" s="7" t="s">
        <v>400</v>
      </c>
      <c r="B14" s="7">
        <v>11</v>
      </c>
      <c r="C14" s="7">
        <v>12</v>
      </c>
      <c r="D14" s="7" t="s">
        <v>419</v>
      </c>
      <c r="E14" s="7" t="s">
        <v>420</v>
      </c>
      <c r="F14" t="s">
        <v>1477</v>
      </c>
      <c r="G14" s="7">
        <v>1</v>
      </c>
      <c r="H14" s="7">
        <v>1</v>
      </c>
      <c r="I14" s="7">
        <v>1</v>
      </c>
      <c r="J14" s="7" t="s">
        <v>421</v>
      </c>
      <c r="K14" s="7" t="s">
        <v>763</v>
      </c>
    </row>
    <row r="15" spans="1:11" x14ac:dyDescent="0.25">
      <c r="A15" s="7" t="s">
        <v>400</v>
      </c>
      <c r="B15" s="7">
        <v>12</v>
      </c>
      <c r="C15" s="7">
        <v>12</v>
      </c>
      <c r="D15" s="7" t="s">
        <v>419</v>
      </c>
      <c r="E15" s="7" t="s">
        <v>422</v>
      </c>
      <c r="F15" t="s">
        <v>1478</v>
      </c>
      <c r="G15" s="7">
        <v>1</v>
      </c>
      <c r="H15" s="7">
        <v>1</v>
      </c>
      <c r="I15" s="7">
        <v>1</v>
      </c>
      <c r="J15" s="7" t="s">
        <v>423</v>
      </c>
      <c r="K15" s="7" t="s">
        <v>764</v>
      </c>
    </row>
    <row r="16" spans="1:11" x14ac:dyDescent="0.25">
      <c r="A16" s="7" t="s">
        <v>400</v>
      </c>
      <c r="B16" s="7">
        <v>13</v>
      </c>
      <c r="C16" s="7">
        <v>12</v>
      </c>
      <c r="D16" s="7" t="s">
        <v>36</v>
      </c>
      <c r="E16" s="7" t="s">
        <v>1479</v>
      </c>
      <c r="F16" t="s">
        <v>1480</v>
      </c>
      <c r="G16" s="7">
        <v>1</v>
      </c>
      <c r="H16" s="7">
        <v>2</v>
      </c>
      <c r="I16" s="7">
        <v>2</v>
      </c>
      <c r="J16" s="7" t="s">
        <v>424</v>
      </c>
      <c r="K16" s="7" t="s">
        <v>765</v>
      </c>
    </row>
    <row r="17" spans="1:11" x14ac:dyDescent="0.25">
      <c r="A17" s="7" t="s">
        <v>400</v>
      </c>
      <c r="B17" s="7">
        <v>14</v>
      </c>
      <c r="C17" s="7">
        <v>12</v>
      </c>
      <c r="D17" s="7" t="s">
        <v>133</v>
      </c>
      <c r="E17" s="7" t="s">
        <v>134</v>
      </c>
      <c r="F17" t="s">
        <v>1481</v>
      </c>
      <c r="G17" s="7">
        <v>1</v>
      </c>
      <c r="H17" s="7">
        <v>1</v>
      </c>
      <c r="I17" s="7">
        <v>1</v>
      </c>
      <c r="J17" s="7" t="s">
        <v>132</v>
      </c>
      <c r="K17" s="7" t="s">
        <v>766</v>
      </c>
    </row>
    <row r="18" spans="1:11" x14ac:dyDescent="0.25">
      <c r="A18" s="7" t="s">
        <v>400</v>
      </c>
      <c r="B18" s="7">
        <v>15</v>
      </c>
      <c r="C18" s="7">
        <v>12</v>
      </c>
      <c r="D18" s="7" t="s">
        <v>5</v>
      </c>
      <c r="E18" s="7" t="s">
        <v>6</v>
      </c>
      <c r="F18" t="s">
        <v>1482</v>
      </c>
      <c r="G18" s="7">
        <v>1</v>
      </c>
      <c r="H18" s="7">
        <v>4</v>
      </c>
      <c r="I18" s="7">
        <v>4</v>
      </c>
      <c r="J18" s="7" t="s">
        <v>767</v>
      </c>
      <c r="K18" s="7" t="s">
        <v>893</v>
      </c>
    </row>
    <row r="19" spans="1:11" x14ac:dyDescent="0.25">
      <c r="A19" s="7" t="s">
        <v>400</v>
      </c>
      <c r="B19" s="7">
        <v>16</v>
      </c>
      <c r="C19" s="7">
        <v>12</v>
      </c>
      <c r="D19" s="7" t="s">
        <v>5</v>
      </c>
      <c r="E19" s="7" t="s">
        <v>429</v>
      </c>
      <c r="F19" t="s">
        <v>1483</v>
      </c>
      <c r="G19" s="7">
        <v>1</v>
      </c>
      <c r="H19" s="7">
        <v>1</v>
      </c>
      <c r="I19" s="7">
        <v>1</v>
      </c>
      <c r="J19" s="7" t="s">
        <v>768</v>
      </c>
      <c r="K19" s="7" t="s">
        <v>769</v>
      </c>
    </row>
    <row r="20" spans="1:11" ht="75" x14ac:dyDescent="0.25">
      <c r="A20" s="7" t="s">
        <v>400</v>
      </c>
      <c r="B20" s="7">
        <v>17</v>
      </c>
      <c r="C20" s="7">
        <v>12</v>
      </c>
      <c r="D20" s="7" t="s">
        <v>5</v>
      </c>
      <c r="E20" s="7" t="s">
        <v>1484</v>
      </c>
      <c r="F20" t="s">
        <v>1485</v>
      </c>
      <c r="G20" s="7">
        <v>1</v>
      </c>
      <c r="H20" s="7">
        <v>10</v>
      </c>
      <c r="I20" s="7">
        <v>10</v>
      </c>
      <c r="J20" s="7" t="s">
        <v>770</v>
      </c>
      <c r="K20" s="7" t="s">
        <v>1486</v>
      </c>
    </row>
    <row r="21" spans="1:11" x14ac:dyDescent="0.25">
      <c r="A21" s="7" t="s">
        <v>400</v>
      </c>
      <c r="B21" s="7">
        <v>18</v>
      </c>
      <c r="C21" s="7">
        <v>12</v>
      </c>
      <c r="D21" s="7" t="s">
        <v>5</v>
      </c>
      <c r="E21" s="7" t="s">
        <v>19</v>
      </c>
      <c r="F21" t="s">
        <v>1487</v>
      </c>
      <c r="G21" s="7">
        <v>1</v>
      </c>
      <c r="H21" s="7">
        <v>1</v>
      </c>
      <c r="I21" s="7">
        <v>1</v>
      </c>
      <c r="J21" s="7" t="s">
        <v>768</v>
      </c>
      <c r="K21" s="7" t="s">
        <v>771</v>
      </c>
    </row>
    <row r="22" spans="1:11" ht="30" x14ac:dyDescent="0.25">
      <c r="A22" s="7" t="s">
        <v>400</v>
      </c>
      <c r="B22" s="7">
        <v>19</v>
      </c>
      <c r="C22" s="7">
        <v>12</v>
      </c>
      <c r="D22" s="7" t="s">
        <v>5</v>
      </c>
      <c r="E22" s="7" t="s">
        <v>67</v>
      </c>
      <c r="F22" t="s">
        <v>1488</v>
      </c>
      <c r="G22" s="7">
        <v>1</v>
      </c>
      <c r="H22" s="7">
        <v>6</v>
      </c>
      <c r="I22" s="7">
        <v>6</v>
      </c>
      <c r="J22" s="7" t="s">
        <v>428</v>
      </c>
      <c r="K22" s="7" t="s">
        <v>772</v>
      </c>
    </row>
    <row r="23" spans="1:11" x14ac:dyDescent="0.25">
      <c r="A23" s="7" t="s">
        <v>400</v>
      </c>
      <c r="B23" s="7">
        <v>20</v>
      </c>
      <c r="C23" s="7">
        <v>12</v>
      </c>
      <c r="D23" s="7" t="s">
        <v>5</v>
      </c>
      <c r="E23" s="7" t="s">
        <v>426</v>
      </c>
      <c r="F23" t="s">
        <v>1489</v>
      </c>
      <c r="G23" s="7">
        <v>1</v>
      </c>
      <c r="H23" s="7">
        <v>2</v>
      </c>
      <c r="I23" s="7">
        <v>2</v>
      </c>
      <c r="J23" s="7" t="s">
        <v>427</v>
      </c>
      <c r="K23" s="7" t="s">
        <v>1490</v>
      </c>
    </row>
    <row r="24" spans="1:11" ht="30" x14ac:dyDescent="0.25">
      <c r="A24" s="7" t="s">
        <v>400</v>
      </c>
      <c r="B24" s="7">
        <v>21</v>
      </c>
      <c r="C24" s="7">
        <v>12</v>
      </c>
      <c r="D24" s="7" t="s">
        <v>5</v>
      </c>
      <c r="E24" s="7" t="s">
        <v>22</v>
      </c>
      <c r="F24" t="s">
        <v>1491</v>
      </c>
      <c r="G24" s="7">
        <v>1</v>
      </c>
      <c r="H24" s="7">
        <v>7</v>
      </c>
      <c r="I24" s="7">
        <v>7</v>
      </c>
      <c r="J24" s="7" t="s">
        <v>774</v>
      </c>
      <c r="K24" s="7" t="s">
        <v>775</v>
      </c>
    </row>
    <row r="25" spans="1:11" x14ac:dyDescent="0.25">
      <c r="A25" s="7" t="s">
        <v>400</v>
      </c>
      <c r="B25" s="7">
        <v>22</v>
      </c>
      <c r="C25" s="7">
        <v>12</v>
      </c>
      <c r="D25" s="7" t="s">
        <v>5</v>
      </c>
      <c r="E25" s="7" t="s">
        <v>21</v>
      </c>
      <c r="F25" t="s">
        <v>1492</v>
      </c>
      <c r="G25" s="7">
        <v>1</v>
      </c>
      <c r="H25" s="7">
        <v>1</v>
      </c>
      <c r="I25" s="7">
        <v>1</v>
      </c>
      <c r="J25" s="7" t="s">
        <v>776</v>
      </c>
      <c r="K25" s="7" t="s">
        <v>777</v>
      </c>
    </row>
    <row r="26" spans="1:11" x14ac:dyDescent="0.25">
      <c r="A26" s="7" t="s">
        <v>400</v>
      </c>
      <c r="B26" s="7">
        <v>23</v>
      </c>
      <c r="C26" s="7">
        <v>12</v>
      </c>
      <c r="D26" s="7" t="s">
        <v>5</v>
      </c>
      <c r="E26" s="7" t="s">
        <v>79</v>
      </c>
      <c r="F26" t="s">
        <v>1493</v>
      </c>
      <c r="G26" s="7">
        <v>1</v>
      </c>
      <c r="H26" s="7">
        <v>2</v>
      </c>
      <c r="I26" s="7">
        <v>2</v>
      </c>
      <c r="J26" s="7" t="s">
        <v>425</v>
      </c>
      <c r="K26" s="7" t="s">
        <v>778</v>
      </c>
    </row>
    <row r="27" spans="1:11" x14ac:dyDescent="0.25">
      <c r="A27" s="7" t="s">
        <v>400</v>
      </c>
      <c r="B27" s="7">
        <v>24</v>
      </c>
      <c r="C27" s="7">
        <v>12</v>
      </c>
      <c r="D27" s="7" t="s">
        <v>430</v>
      </c>
      <c r="E27" s="7" t="s">
        <v>431</v>
      </c>
      <c r="F27" t="s">
        <v>1494</v>
      </c>
      <c r="G27" s="7">
        <v>1</v>
      </c>
      <c r="H27" s="7">
        <v>2</v>
      </c>
      <c r="I27" s="7">
        <v>2</v>
      </c>
      <c r="J27" s="7" t="s">
        <v>125</v>
      </c>
      <c r="K27" s="7"/>
    </row>
    <row r="28" spans="1:11" x14ac:dyDescent="0.25">
      <c r="A28" s="7" t="s">
        <v>400</v>
      </c>
      <c r="B28" s="7">
        <v>25</v>
      </c>
      <c r="C28" s="7">
        <v>12</v>
      </c>
      <c r="D28" s="7" t="s">
        <v>430</v>
      </c>
      <c r="E28" s="7" t="s">
        <v>432</v>
      </c>
      <c r="F28" t="s">
        <v>1495</v>
      </c>
      <c r="G28" s="7">
        <v>1</v>
      </c>
      <c r="H28" s="7">
        <v>2</v>
      </c>
      <c r="I28" s="7">
        <v>2</v>
      </c>
      <c r="J28" s="7" t="s">
        <v>125</v>
      </c>
      <c r="K28" s="7"/>
    </row>
    <row r="29" spans="1:11" x14ac:dyDescent="0.25">
      <c r="A29" s="7" t="s">
        <v>400</v>
      </c>
      <c r="B29" s="7">
        <v>26</v>
      </c>
      <c r="C29" s="7">
        <v>12</v>
      </c>
      <c r="D29" s="7" t="s">
        <v>433</v>
      </c>
      <c r="E29" s="7">
        <v>1353605</v>
      </c>
      <c r="F29" t="s">
        <v>1496</v>
      </c>
      <c r="G29" s="7">
        <v>1</v>
      </c>
      <c r="H29" s="7">
        <v>1</v>
      </c>
      <c r="I29" s="7">
        <v>1</v>
      </c>
      <c r="J29" s="7" t="s">
        <v>434</v>
      </c>
      <c r="K29" s="7" t="s">
        <v>779</v>
      </c>
    </row>
    <row r="30" spans="1:11" x14ac:dyDescent="0.25">
      <c r="A30" s="7" t="s">
        <v>400</v>
      </c>
      <c r="B30" s="7">
        <v>27</v>
      </c>
      <c r="C30" s="7">
        <v>12</v>
      </c>
      <c r="D30" s="7" t="s">
        <v>433</v>
      </c>
      <c r="E30" s="7" t="s">
        <v>435</v>
      </c>
      <c r="F30" t="s">
        <v>1497</v>
      </c>
      <c r="G30" s="7">
        <v>1</v>
      </c>
      <c r="H30" s="7">
        <v>3</v>
      </c>
      <c r="I30" s="7">
        <v>3</v>
      </c>
      <c r="J30" s="7" t="s">
        <v>780</v>
      </c>
      <c r="K30" s="7" t="s">
        <v>781</v>
      </c>
    </row>
    <row r="31" spans="1:11" x14ac:dyDescent="0.25">
      <c r="A31" s="7" t="s">
        <v>400</v>
      </c>
      <c r="B31" s="7">
        <v>28</v>
      </c>
      <c r="C31" s="7">
        <v>12</v>
      </c>
      <c r="D31" s="7" t="s">
        <v>433</v>
      </c>
      <c r="E31" s="7" t="s">
        <v>436</v>
      </c>
      <c r="F31" t="s">
        <v>1498</v>
      </c>
      <c r="G31" s="7">
        <v>1</v>
      </c>
      <c r="H31" s="7">
        <v>3</v>
      </c>
      <c r="I31" s="7">
        <v>3</v>
      </c>
      <c r="J31" s="7" t="s">
        <v>780</v>
      </c>
      <c r="K31" s="7" t="s">
        <v>782</v>
      </c>
    </row>
    <row r="32" spans="1:11" x14ac:dyDescent="0.25">
      <c r="A32" s="7" t="s">
        <v>400</v>
      </c>
      <c r="B32" s="7">
        <v>29</v>
      </c>
      <c r="C32" s="7">
        <v>12</v>
      </c>
      <c r="D32" s="7" t="s">
        <v>433</v>
      </c>
      <c r="E32" s="7" t="s">
        <v>437</v>
      </c>
      <c r="F32" t="s">
        <v>1499</v>
      </c>
      <c r="G32" s="7">
        <v>1</v>
      </c>
      <c r="H32" s="7">
        <v>3</v>
      </c>
      <c r="I32" s="7">
        <v>3</v>
      </c>
      <c r="J32" s="7" t="s">
        <v>434</v>
      </c>
      <c r="K32" s="7" t="s">
        <v>783</v>
      </c>
    </row>
    <row r="33" spans="1:11" ht="30" x14ac:dyDescent="0.25">
      <c r="A33" s="7" t="s">
        <v>400</v>
      </c>
      <c r="B33" s="7">
        <v>30</v>
      </c>
      <c r="C33" s="7">
        <v>12</v>
      </c>
      <c r="D33" s="7" t="s">
        <v>438</v>
      </c>
      <c r="E33" s="7" t="s">
        <v>448</v>
      </c>
      <c r="F33" t="s">
        <v>1500</v>
      </c>
      <c r="G33" s="7">
        <v>1</v>
      </c>
      <c r="H33" s="7">
        <v>3</v>
      </c>
      <c r="I33" s="7">
        <v>3</v>
      </c>
      <c r="J33" s="7" t="s">
        <v>449</v>
      </c>
      <c r="K33" s="7" t="s">
        <v>784</v>
      </c>
    </row>
    <row r="34" spans="1:11" x14ac:dyDescent="0.25">
      <c r="A34" s="7" t="s">
        <v>400</v>
      </c>
      <c r="B34" s="7">
        <v>31</v>
      </c>
      <c r="C34" s="7">
        <v>12</v>
      </c>
      <c r="D34" s="7" t="s">
        <v>438</v>
      </c>
      <c r="E34" s="7" t="s">
        <v>439</v>
      </c>
      <c r="F34" t="s">
        <v>1501</v>
      </c>
      <c r="G34" s="7">
        <v>1</v>
      </c>
      <c r="H34" s="7">
        <v>3</v>
      </c>
      <c r="I34" s="7">
        <v>3</v>
      </c>
      <c r="J34" s="7" t="s">
        <v>440</v>
      </c>
      <c r="K34" s="7" t="s">
        <v>785</v>
      </c>
    </row>
    <row r="35" spans="1:11" ht="30" x14ac:dyDescent="0.25">
      <c r="A35" s="7" t="s">
        <v>400</v>
      </c>
      <c r="B35" s="7">
        <v>32</v>
      </c>
      <c r="C35" s="7">
        <v>12</v>
      </c>
      <c r="D35" s="7" t="s">
        <v>438</v>
      </c>
      <c r="E35" s="7" t="s">
        <v>447</v>
      </c>
      <c r="F35" t="s">
        <v>1502</v>
      </c>
      <c r="G35" s="7">
        <v>1</v>
      </c>
      <c r="H35" s="7">
        <v>9</v>
      </c>
      <c r="I35" s="7">
        <v>9</v>
      </c>
      <c r="J35" s="7" t="s">
        <v>786</v>
      </c>
      <c r="K35" s="7" t="s">
        <v>787</v>
      </c>
    </row>
    <row r="36" spans="1:11" x14ac:dyDescent="0.25">
      <c r="A36" s="7" t="s">
        <v>400</v>
      </c>
      <c r="B36" s="7">
        <v>33</v>
      </c>
      <c r="C36" s="7">
        <v>12</v>
      </c>
      <c r="D36" s="7" t="s">
        <v>438</v>
      </c>
      <c r="E36" s="7" t="s">
        <v>446</v>
      </c>
      <c r="F36" t="s">
        <v>1503</v>
      </c>
      <c r="G36" s="7">
        <v>1</v>
      </c>
      <c r="H36" s="7">
        <v>3</v>
      </c>
      <c r="I36" s="7">
        <v>3</v>
      </c>
      <c r="J36" s="7" t="s">
        <v>788</v>
      </c>
      <c r="K36" s="7" t="s">
        <v>789</v>
      </c>
    </row>
    <row r="37" spans="1:11" ht="30" x14ac:dyDescent="0.25">
      <c r="A37" s="7" t="s">
        <v>400</v>
      </c>
      <c r="B37" s="7">
        <v>34</v>
      </c>
      <c r="C37" s="7">
        <v>12</v>
      </c>
      <c r="D37" s="7" t="s">
        <v>438</v>
      </c>
      <c r="E37" s="7" t="s">
        <v>445</v>
      </c>
      <c r="F37" t="s">
        <v>1504</v>
      </c>
      <c r="G37" s="7">
        <v>1</v>
      </c>
      <c r="H37" s="7">
        <v>4</v>
      </c>
      <c r="I37" s="7">
        <v>4</v>
      </c>
      <c r="J37" s="7" t="s">
        <v>790</v>
      </c>
      <c r="K37" s="7" t="s">
        <v>791</v>
      </c>
    </row>
    <row r="38" spans="1:11" x14ac:dyDescent="0.25">
      <c r="A38" s="7" t="s">
        <v>400</v>
      </c>
      <c r="B38" s="7">
        <v>35</v>
      </c>
      <c r="C38" s="7">
        <v>12</v>
      </c>
      <c r="D38" s="7" t="s">
        <v>438</v>
      </c>
      <c r="E38" s="7" t="s">
        <v>450</v>
      </c>
      <c r="F38" t="s">
        <v>1505</v>
      </c>
      <c r="G38" s="7">
        <v>1</v>
      </c>
      <c r="H38" s="7">
        <v>3</v>
      </c>
      <c r="I38" s="7">
        <v>3</v>
      </c>
      <c r="J38" s="7" t="s">
        <v>792</v>
      </c>
      <c r="K38" s="7" t="s">
        <v>793</v>
      </c>
    </row>
    <row r="39" spans="1:11" x14ac:dyDescent="0.25">
      <c r="A39" s="7" t="s">
        <v>400</v>
      </c>
      <c r="B39" s="7">
        <v>36</v>
      </c>
      <c r="C39" s="7">
        <v>12</v>
      </c>
      <c r="D39" s="7" t="s">
        <v>438</v>
      </c>
      <c r="E39" s="7" t="s">
        <v>442</v>
      </c>
      <c r="F39" t="s">
        <v>1506</v>
      </c>
      <c r="G39" s="7">
        <v>1</v>
      </c>
      <c r="H39" s="7">
        <v>1</v>
      </c>
      <c r="I39" s="7">
        <v>1</v>
      </c>
      <c r="J39" s="7" t="s">
        <v>440</v>
      </c>
      <c r="K39" s="7" t="s">
        <v>794</v>
      </c>
    </row>
    <row r="40" spans="1:11" x14ac:dyDescent="0.25">
      <c r="A40" s="7" t="s">
        <v>400</v>
      </c>
      <c r="B40" s="7">
        <v>37</v>
      </c>
      <c r="C40" s="7">
        <v>12</v>
      </c>
      <c r="D40" s="7" t="s">
        <v>438</v>
      </c>
      <c r="E40" s="7" t="s">
        <v>444</v>
      </c>
      <c r="F40" t="s">
        <v>1507</v>
      </c>
      <c r="G40" s="7">
        <v>1</v>
      </c>
      <c r="H40" s="7">
        <v>1</v>
      </c>
      <c r="I40" s="7">
        <v>1</v>
      </c>
      <c r="J40" s="7" t="s">
        <v>440</v>
      </c>
      <c r="K40" s="7" t="s">
        <v>795</v>
      </c>
    </row>
    <row r="41" spans="1:11" x14ac:dyDescent="0.25">
      <c r="A41" s="7" t="s">
        <v>400</v>
      </c>
      <c r="B41" s="7">
        <v>38</v>
      </c>
      <c r="C41" s="7">
        <v>12</v>
      </c>
      <c r="D41" s="7" t="s">
        <v>438</v>
      </c>
      <c r="E41" s="7" t="s">
        <v>441</v>
      </c>
      <c r="F41" t="s">
        <v>1508</v>
      </c>
      <c r="G41" s="7">
        <v>1</v>
      </c>
      <c r="H41" s="7">
        <v>1</v>
      </c>
      <c r="I41" s="7">
        <v>1</v>
      </c>
      <c r="J41" s="7" t="s">
        <v>440</v>
      </c>
      <c r="K41" s="7" t="s">
        <v>796</v>
      </c>
    </row>
    <row r="42" spans="1:11" x14ac:dyDescent="0.25">
      <c r="A42" s="7" t="s">
        <v>400</v>
      </c>
      <c r="B42" s="7">
        <v>39</v>
      </c>
      <c r="C42" s="7">
        <v>12</v>
      </c>
      <c r="D42" s="7" t="s">
        <v>438</v>
      </c>
      <c r="E42" s="7" t="s">
        <v>443</v>
      </c>
      <c r="F42" t="s">
        <v>1509</v>
      </c>
      <c r="G42" s="7">
        <v>1</v>
      </c>
      <c r="H42" s="7">
        <v>1</v>
      </c>
      <c r="I42" s="7">
        <v>1</v>
      </c>
      <c r="J42" s="7" t="s">
        <v>440</v>
      </c>
      <c r="K42" s="7" t="s">
        <v>797</v>
      </c>
    </row>
    <row r="43" spans="1:11" x14ac:dyDescent="0.25">
      <c r="A43" s="7" t="s">
        <v>400</v>
      </c>
      <c r="B43" s="7">
        <v>40</v>
      </c>
      <c r="C43" s="7">
        <v>12</v>
      </c>
      <c r="D43" s="7" t="s">
        <v>41</v>
      </c>
      <c r="E43" s="7" t="s">
        <v>453</v>
      </c>
      <c r="F43" t="s">
        <v>1510</v>
      </c>
      <c r="G43" s="7">
        <v>1</v>
      </c>
      <c r="H43" s="7">
        <v>2</v>
      </c>
      <c r="I43" s="7">
        <v>0</v>
      </c>
      <c r="J43" s="7" t="s">
        <v>452</v>
      </c>
      <c r="K43" s="7" t="s">
        <v>798</v>
      </c>
    </row>
    <row r="44" spans="1:11" x14ac:dyDescent="0.25">
      <c r="A44" s="7" t="s">
        <v>400</v>
      </c>
      <c r="B44" s="7">
        <v>41</v>
      </c>
      <c r="C44" s="7">
        <v>12</v>
      </c>
      <c r="D44" s="7" t="s">
        <v>41</v>
      </c>
      <c r="E44" s="7" t="s">
        <v>451</v>
      </c>
      <c r="F44" t="s">
        <v>1511</v>
      </c>
      <c r="G44" s="7">
        <v>1</v>
      </c>
      <c r="H44" s="7">
        <v>2</v>
      </c>
      <c r="I44" s="7">
        <v>2</v>
      </c>
      <c r="J44" s="7" t="s">
        <v>452</v>
      </c>
      <c r="K44" s="7" t="s">
        <v>799</v>
      </c>
    </row>
    <row r="45" spans="1:11" x14ac:dyDescent="0.25">
      <c r="A45" s="7" t="s">
        <v>400</v>
      </c>
      <c r="B45" s="7">
        <v>42</v>
      </c>
      <c r="C45" s="7">
        <v>12</v>
      </c>
      <c r="D45" s="7" t="s">
        <v>454</v>
      </c>
      <c r="E45" s="7" t="s">
        <v>455</v>
      </c>
      <c r="F45" t="s">
        <v>1512</v>
      </c>
      <c r="G45" s="7">
        <v>1</v>
      </c>
      <c r="H45" s="7">
        <v>1</v>
      </c>
      <c r="I45" s="7">
        <v>1</v>
      </c>
      <c r="J45" s="7" t="s">
        <v>405</v>
      </c>
      <c r="K45" s="7" t="s">
        <v>800</v>
      </c>
    </row>
    <row r="46" spans="1:11" x14ac:dyDescent="0.25">
      <c r="A46" s="7" t="s">
        <v>400</v>
      </c>
      <c r="B46" s="7">
        <v>43</v>
      </c>
      <c r="C46" s="7">
        <v>12</v>
      </c>
      <c r="D46" s="7" t="s">
        <v>137</v>
      </c>
      <c r="E46" s="7">
        <v>1159045</v>
      </c>
      <c r="F46" t="s">
        <v>1513</v>
      </c>
      <c r="G46" s="7">
        <v>1</v>
      </c>
      <c r="H46" s="7">
        <v>1</v>
      </c>
      <c r="I46" s="7">
        <v>1</v>
      </c>
      <c r="J46" s="7" t="s">
        <v>138</v>
      </c>
      <c r="K46" s="7" t="s">
        <v>801</v>
      </c>
    </row>
    <row r="47" spans="1:11" ht="30" x14ac:dyDescent="0.25">
      <c r="A47" s="7" t="s">
        <v>400</v>
      </c>
      <c r="B47" s="7">
        <v>44</v>
      </c>
      <c r="C47" s="7">
        <v>12</v>
      </c>
      <c r="D47" s="7" t="s">
        <v>137</v>
      </c>
      <c r="E47" s="7">
        <v>1400899</v>
      </c>
      <c r="F47" t="s">
        <v>1514</v>
      </c>
      <c r="G47" s="7">
        <v>1</v>
      </c>
      <c r="H47" s="7">
        <v>3</v>
      </c>
      <c r="I47" s="7">
        <v>3</v>
      </c>
      <c r="J47" s="7" t="s">
        <v>459</v>
      </c>
      <c r="K47" s="7" t="s">
        <v>802</v>
      </c>
    </row>
    <row r="48" spans="1:11" ht="30" x14ac:dyDescent="0.25">
      <c r="A48" s="7" t="s">
        <v>400</v>
      </c>
      <c r="B48" s="7">
        <v>45</v>
      </c>
      <c r="C48" s="7">
        <v>12</v>
      </c>
      <c r="D48" s="7" t="s">
        <v>137</v>
      </c>
      <c r="E48" s="7">
        <v>1406167</v>
      </c>
      <c r="F48" t="s">
        <v>1515</v>
      </c>
      <c r="G48" s="7">
        <v>1</v>
      </c>
      <c r="H48" s="7">
        <v>2</v>
      </c>
      <c r="I48" s="7">
        <v>2</v>
      </c>
      <c r="J48" s="7" t="s">
        <v>767</v>
      </c>
      <c r="K48" s="7" t="s">
        <v>1516</v>
      </c>
    </row>
    <row r="49" spans="1:11" ht="60" x14ac:dyDescent="0.25">
      <c r="A49" s="7" t="s">
        <v>400</v>
      </c>
      <c r="B49" s="7">
        <v>46</v>
      </c>
      <c r="C49" s="7">
        <v>12</v>
      </c>
      <c r="D49" s="7" t="s">
        <v>137</v>
      </c>
      <c r="E49" s="7">
        <v>1439492</v>
      </c>
      <c r="F49" t="s">
        <v>1517</v>
      </c>
      <c r="G49" s="7">
        <v>1</v>
      </c>
      <c r="H49" s="7">
        <v>8</v>
      </c>
      <c r="I49" s="7">
        <v>8</v>
      </c>
      <c r="J49" s="7" t="s">
        <v>458</v>
      </c>
      <c r="K49" s="7" t="s">
        <v>803</v>
      </c>
    </row>
    <row r="50" spans="1:11" ht="105" x14ac:dyDescent="0.25">
      <c r="A50" s="7" t="s">
        <v>400</v>
      </c>
      <c r="B50" s="7">
        <v>47</v>
      </c>
      <c r="C50" s="7">
        <v>12</v>
      </c>
      <c r="D50" s="7" t="s">
        <v>137</v>
      </c>
      <c r="E50" s="7">
        <v>1500716</v>
      </c>
      <c r="F50" t="s">
        <v>1518</v>
      </c>
      <c r="G50" s="7">
        <v>1</v>
      </c>
      <c r="H50" s="7">
        <v>13</v>
      </c>
      <c r="I50" s="7">
        <v>13</v>
      </c>
      <c r="J50" s="7" t="s">
        <v>804</v>
      </c>
      <c r="K50" s="7" t="s">
        <v>805</v>
      </c>
    </row>
    <row r="51" spans="1:11" ht="30" x14ac:dyDescent="0.25">
      <c r="A51" s="7" t="s">
        <v>400</v>
      </c>
      <c r="B51" s="7">
        <v>48</v>
      </c>
      <c r="C51" s="7">
        <v>12</v>
      </c>
      <c r="D51" s="7" t="s">
        <v>137</v>
      </c>
      <c r="E51" s="7">
        <v>1500758</v>
      </c>
      <c r="F51" t="s">
        <v>1519</v>
      </c>
      <c r="G51" s="7">
        <v>1</v>
      </c>
      <c r="H51" s="7">
        <v>2</v>
      </c>
      <c r="I51" s="7">
        <v>2</v>
      </c>
      <c r="J51" s="7" t="s">
        <v>424</v>
      </c>
      <c r="K51" s="7" t="s">
        <v>806</v>
      </c>
    </row>
    <row r="52" spans="1:11" ht="30" x14ac:dyDescent="0.25">
      <c r="A52" s="7" t="s">
        <v>400</v>
      </c>
      <c r="B52" s="7">
        <v>49</v>
      </c>
      <c r="C52" s="7">
        <v>12</v>
      </c>
      <c r="D52" s="7" t="s">
        <v>137</v>
      </c>
      <c r="E52" s="7">
        <v>1520372</v>
      </c>
      <c r="F52" t="s">
        <v>1520</v>
      </c>
      <c r="G52" s="7">
        <v>1</v>
      </c>
      <c r="H52" s="7">
        <v>1</v>
      </c>
      <c r="I52" s="7">
        <v>1</v>
      </c>
      <c r="J52" s="7" t="s">
        <v>768</v>
      </c>
      <c r="K52" s="7" t="s">
        <v>807</v>
      </c>
    </row>
    <row r="53" spans="1:11" ht="30" x14ac:dyDescent="0.25">
      <c r="A53" s="7" t="s">
        <v>400</v>
      </c>
      <c r="B53" s="7">
        <v>50</v>
      </c>
      <c r="C53" s="7">
        <v>12</v>
      </c>
      <c r="D53" s="7" t="s">
        <v>137</v>
      </c>
      <c r="E53" s="7">
        <v>1522891</v>
      </c>
      <c r="F53" t="s">
        <v>1521</v>
      </c>
      <c r="G53" s="7">
        <v>1</v>
      </c>
      <c r="H53" s="7">
        <v>2</v>
      </c>
      <c r="I53" s="7">
        <v>2</v>
      </c>
      <c r="J53" s="7" t="s">
        <v>452</v>
      </c>
      <c r="K53" s="7" t="s">
        <v>808</v>
      </c>
    </row>
    <row r="54" spans="1:11" ht="90" x14ac:dyDescent="0.25">
      <c r="A54" s="7" t="s">
        <v>400</v>
      </c>
      <c r="B54" s="7">
        <v>51</v>
      </c>
      <c r="C54" s="7">
        <v>12</v>
      </c>
      <c r="D54" s="7" t="s">
        <v>137</v>
      </c>
      <c r="E54" s="7">
        <v>1683002</v>
      </c>
      <c r="F54" t="s">
        <v>1522</v>
      </c>
      <c r="G54" s="7">
        <v>1</v>
      </c>
      <c r="H54" s="7">
        <v>18</v>
      </c>
      <c r="I54" s="7">
        <v>18</v>
      </c>
      <c r="J54" s="7" t="s">
        <v>809</v>
      </c>
      <c r="K54" s="7" t="s">
        <v>1523</v>
      </c>
    </row>
    <row r="55" spans="1:11" ht="45" x14ac:dyDescent="0.25">
      <c r="A55" s="7" t="s">
        <v>400</v>
      </c>
      <c r="B55" s="7">
        <v>52</v>
      </c>
      <c r="C55" s="7">
        <v>12</v>
      </c>
      <c r="D55" s="7" t="s">
        <v>137</v>
      </c>
      <c r="E55" s="7">
        <v>1694101</v>
      </c>
      <c r="F55" t="s">
        <v>1524</v>
      </c>
      <c r="G55" s="7">
        <v>1</v>
      </c>
      <c r="H55" s="7">
        <v>8</v>
      </c>
      <c r="I55" s="7">
        <v>8</v>
      </c>
      <c r="J55" s="7" t="s">
        <v>810</v>
      </c>
      <c r="K55" s="7" t="s">
        <v>811</v>
      </c>
    </row>
    <row r="56" spans="1:11" ht="60" x14ac:dyDescent="0.25">
      <c r="A56" s="7" t="s">
        <v>400</v>
      </c>
      <c r="B56" s="7">
        <v>53</v>
      </c>
      <c r="C56" s="7">
        <v>12</v>
      </c>
      <c r="D56" s="7" t="s">
        <v>137</v>
      </c>
      <c r="E56" s="7">
        <v>2905743</v>
      </c>
      <c r="F56" t="s">
        <v>1525</v>
      </c>
      <c r="G56" s="7">
        <v>1</v>
      </c>
      <c r="H56" s="7">
        <v>9</v>
      </c>
      <c r="I56" s="7">
        <v>9</v>
      </c>
      <c r="J56" s="7" t="s">
        <v>457</v>
      </c>
      <c r="K56" s="7" t="s">
        <v>1092</v>
      </c>
    </row>
    <row r="57" spans="1:11" x14ac:dyDescent="0.25">
      <c r="A57" s="7" t="s">
        <v>400</v>
      </c>
      <c r="B57" s="7">
        <v>54</v>
      </c>
      <c r="C57" s="7">
        <v>12</v>
      </c>
      <c r="D57" s="7" t="s">
        <v>137</v>
      </c>
      <c r="E57" s="7">
        <v>2910386</v>
      </c>
      <c r="F57" t="s">
        <v>1526</v>
      </c>
      <c r="G57" s="7">
        <v>1</v>
      </c>
      <c r="H57" s="7">
        <v>1</v>
      </c>
      <c r="I57" s="7">
        <v>1</v>
      </c>
      <c r="J57" s="7" t="s">
        <v>456</v>
      </c>
      <c r="K57" s="7" t="s">
        <v>812</v>
      </c>
    </row>
    <row r="58" spans="1:11" ht="30" x14ac:dyDescent="0.25">
      <c r="A58" s="7" t="s">
        <v>400</v>
      </c>
      <c r="B58" s="7">
        <v>55</v>
      </c>
      <c r="C58" s="7">
        <v>12</v>
      </c>
      <c r="D58" s="7" t="s">
        <v>14</v>
      </c>
      <c r="E58" s="7" t="s">
        <v>491</v>
      </c>
      <c r="F58" t="s">
        <v>1527</v>
      </c>
      <c r="G58" s="7">
        <v>1</v>
      </c>
      <c r="H58" s="7">
        <v>4</v>
      </c>
      <c r="I58" s="7">
        <v>4</v>
      </c>
      <c r="J58" s="7" t="s">
        <v>492</v>
      </c>
      <c r="K58" s="7" t="s">
        <v>813</v>
      </c>
    </row>
    <row r="59" spans="1:11" x14ac:dyDescent="0.25">
      <c r="A59" s="7" t="s">
        <v>400</v>
      </c>
      <c r="B59" s="7">
        <v>56</v>
      </c>
      <c r="C59" s="7">
        <v>12</v>
      </c>
      <c r="D59" s="7" t="s">
        <v>14</v>
      </c>
      <c r="E59" s="7" t="s">
        <v>486</v>
      </c>
      <c r="F59" t="s">
        <v>1528</v>
      </c>
      <c r="G59" s="7">
        <v>1</v>
      </c>
      <c r="H59" s="7">
        <v>1</v>
      </c>
      <c r="I59" s="7">
        <v>1</v>
      </c>
      <c r="J59" s="7" t="s">
        <v>487</v>
      </c>
      <c r="K59" s="7" t="s">
        <v>814</v>
      </c>
    </row>
    <row r="60" spans="1:11" x14ac:dyDescent="0.25">
      <c r="A60" s="7" t="s">
        <v>400</v>
      </c>
      <c r="B60" s="7">
        <v>57</v>
      </c>
      <c r="C60" s="7">
        <v>12</v>
      </c>
      <c r="D60" s="7" t="s">
        <v>14</v>
      </c>
      <c r="E60" s="7" t="s">
        <v>478</v>
      </c>
      <c r="F60" t="s">
        <v>1529</v>
      </c>
      <c r="G60" s="7">
        <v>1</v>
      </c>
      <c r="H60" s="7">
        <v>2</v>
      </c>
      <c r="I60" s="7">
        <v>2</v>
      </c>
      <c r="J60" s="7" t="s">
        <v>485</v>
      </c>
      <c r="K60" s="7" t="s">
        <v>815</v>
      </c>
    </row>
    <row r="61" spans="1:11" ht="30" x14ac:dyDescent="0.25">
      <c r="A61" s="7" t="s">
        <v>400</v>
      </c>
      <c r="B61" s="7">
        <v>58</v>
      </c>
      <c r="C61" s="7">
        <v>12</v>
      </c>
      <c r="D61" s="7" t="s">
        <v>14</v>
      </c>
      <c r="E61" s="7" t="s">
        <v>466</v>
      </c>
      <c r="F61" t="s">
        <v>1530</v>
      </c>
      <c r="G61" s="7">
        <v>1</v>
      </c>
      <c r="H61" s="7">
        <v>6</v>
      </c>
      <c r="I61" s="7">
        <v>6</v>
      </c>
      <c r="J61" s="7" t="s">
        <v>465</v>
      </c>
      <c r="K61" s="7" t="s">
        <v>816</v>
      </c>
    </row>
    <row r="62" spans="1:11" ht="30" x14ac:dyDescent="0.25">
      <c r="A62" s="7" t="s">
        <v>400</v>
      </c>
      <c r="B62" s="7">
        <v>59</v>
      </c>
      <c r="C62" s="7">
        <v>12</v>
      </c>
      <c r="D62" s="7" t="s">
        <v>14</v>
      </c>
      <c r="E62" s="7" t="s">
        <v>463</v>
      </c>
      <c r="F62" t="s">
        <v>1531</v>
      </c>
      <c r="G62" s="7">
        <v>1</v>
      </c>
      <c r="H62" s="7">
        <v>3</v>
      </c>
      <c r="I62" s="7">
        <v>3</v>
      </c>
      <c r="J62" s="7" t="s">
        <v>817</v>
      </c>
      <c r="K62" s="7" t="s">
        <v>818</v>
      </c>
    </row>
    <row r="63" spans="1:11" ht="30" x14ac:dyDescent="0.25">
      <c r="A63" s="7" t="s">
        <v>400</v>
      </c>
      <c r="B63" s="7">
        <v>60</v>
      </c>
      <c r="C63" s="7">
        <v>12</v>
      </c>
      <c r="D63" s="7" t="s">
        <v>14</v>
      </c>
      <c r="E63" s="7" t="s">
        <v>464</v>
      </c>
      <c r="F63" t="s">
        <v>1532</v>
      </c>
      <c r="G63" s="7">
        <v>1</v>
      </c>
      <c r="H63" s="7">
        <v>12</v>
      </c>
      <c r="I63" s="7">
        <v>12</v>
      </c>
      <c r="J63" s="7" t="s">
        <v>465</v>
      </c>
      <c r="K63" s="7" t="s">
        <v>819</v>
      </c>
    </row>
    <row r="64" spans="1:11" ht="45" x14ac:dyDescent="0.25">
      <c r="A64" s="7" t="s">
        <v>400</v>
      </c>
      <c r="B64" s="7">
        <v>61</v>
      </c>
      <c r="C64" s="7">
        <v>12</v>
      </c>
      <c r="D64" s="7" t="s">
        <v>14</v>
      </c>
      <c r="E64" s="7" t="s">
        <v>553</v>
      </c>
      <c r="F64" t="s">
        <v>1533</v>
      </c>
      <c r="G64" s="7">
        <v>1</v>
      </c>
      <c r="H64" s="7">
        <v>3</v>
      </c>
      <c r="I64" s="7">
        <v>3</v>
      </c>
      <c r="J64" s="7" t="s">
        <v>554</v>
      </c>
      <c r="K64" s="7" t="s">
        <v>820</v>
      </c>
    </row>
    <row r="65" spans="1:11" ht="30" x14ac:dyDescent="0.25">
      <c r="A65" s="7" t="s">
        <v>400</v>
      </c>
      <c r="B65" s="7">
        <v>62</v>
      </c>
      <c r="C65" s="7">
        <v>12</v>
      </c>
      <c r="D65" s="7" t="s">
        <v>14</v>
      </c>
      <c r="E65" s="7" t="s">
        <v>537</v>
      </c>
      <c r="F65" t="s">
        <v>1534</v>
      </c>
      <c r="G65" s="7">
        <v>1</v>
      </c>
      <c r="H65" s="7">
        <v>4</v>
      </c>
      <c r="I65" s="7">
        <v>4</v>
      </c>
      <c r="J65" s="7" t="s">
        <v>538</v>
      </c>
      <c r="K65" s="7" t="s">
        <v>821</v>
      </c>
    </row>
    <row r="66" spans="1:11" x14ac:dyDescent="0.25">
      <c r="A66" s="7" t="s">
        <v>400</v>
      </c>
      <c r="B66" s="7">
        <v>63</v>
      </c>
      <c r="C66" s="7">
        <v>12</v>
      </c>
      <c r="D66" s="7" t="s">
        <v>14</v>
      </c>
      <c r="E66" s="7" t="s">
        <v>131</v>
      </c>
      <c r="F66" t="s">
        <v>1535</v>
      </c>
      <c r="G66" s="7">
        <v>1</v>
      </c>
      <c r="H66" s="7">
        <v>2</v>
      </c>
      <c r="I66" s="7">
        <v>2</v>
      </c>
      <c r="J66" s="7" t="s">
        <v>462</v>
      </c>
      <c r="K66" s="7" t="s">
        <v>822</v>
      </c>
    </row>
    <row r="67" spans="1:11" x14ac:dyDescent="0.25">
      <c r="A67" s="7" t="s">
        <v>400</v>
      </c>
      <c r="B67" s="7">
        <v>64</v>
      </c>
      <c r="C67" s="7">
        <v>12</v>
      </c>
      <c r="D67" s="7" t="s">
        <v>14</v>
      </c>
      <c r="E67" s="7" t="s">
        <v>495</v>
      </c>
      <c r="F67" t="s">
        <v>1536</v>
      </c>
      <c r="G67" s="7">
        <v>1</v>
      </c>
      <c r="H67" s="7">
        <v>2</v>
      </c>
      <c r="I67" s="7">
        <v>2</v>
      </c>
      <c r="J67" s="7" t="s">
        <v>496</v>
      </c>
      <c r="K67" s="7" t="s">
        <v>823</v>
      </c>
    </row>
    <row r="68" spans="1:11" ht="30" x14ac:dyDescent="0.25">
      <c r="A68" s="7" t="s">
        <v>400</v>
      </c>
      <c r="B68" s="7">
        <v>65</v>
      </c>
      <c r="C68" s="7">
        <v>12</v>
      </c>
      <c r="D68" s="7" t="s">
        <v>14</v>
      </c>
      <c r="E68" s="7" t="s">
        <v>497</v>
      </c>
      <c r="F68" t="s">
        <v>1537</v>
      </c>
      <c r="G68" s="7">
        <v>1</v>
      </c>
      <c r="H68" s="7">
        <v>3</v>
      </c>
      <c r="I68" s="7">
        <v>3</v>
      </c>
      <c r="J68" s="7" t="s">
        <v>498</v>
      </c>
      <c r="K68" s="7" t="s">
        <v>824</v>
      </c>
    </row>
    <row r="69" spans="1:11" ht="30" x14ac:dyDescent="0.25">
      <c r="A69" s="7" t="s">
        <v>400</v>
      </c>
      <c r="B69" s="7">
        <v>66</v>
      </c>
      <c r="C69" s="7">
        <v>12</v>
      </c>
      <c r="D69" s="7" t="s">
        <v>14</v>
      </c>
      <c r="E69" s="7" t="s">
        <v>493</v>
      </c>
      <c r="F69" t="s">
        <v>1538</v>
      </c>
      <c r="G69" s="7">
        <v>1</v>
      </c>
      <c r="H69" s="7">
        <v>4</v>
      </c>
      <c r="I69" s="7">
        <v>4</v>
      </c>
      <c r="J69" s="7" t="s">
        <v>494</v>
      </c>
      <c r="K69" s="7" t="s">
        <v>825</v>
      </c>
    </row>
    <row r="70" spans="1:11" x14ac:dyDescent="0.25">
      <c r="A70" s="7" t="s">
        <v>400</v>
      </c>
      <c r="B70" s="7">
        <v>67</v>
      </c>
      <c r="C70" s="7">
        <v>12</v>
      </c>
      <c r="D70" s="7" t="s">
        <v>14</v>
      </c>
      <c r="E70" s="7" t="s">
        <v>499</v>
      </c>
      <c r="F70" t="s">
        <v>1539</v>
      </c>
      <c r="G70" s="7">
        <v>1</v>
      </c>
      <c r="H70" s="7">
        <v>1</v>
      </c>
      <c r="I70" s="7">
        <v>1</v>
      </c>
      <c r="J70" s="7" t="s">
        <v>500</v>
      </c>
      <c r="K70" s="7" t="s">
        <v>826</v>
      </c>
    </row>
    <row r="71" spans="1:11" x14ac:dyDescent="0.25">
      <c r="A71" s="7" t="s">
        <v>400</v>
      </c>
      <c r="B71" s="7">
        <v>68</v>
      </c>
      <c r="C71" s="7">
        <v>12</v>
      </c>
      <c r="D71" s="7" t="s">
        <v>14</v>
      </c>
      <c r="E71" s="7" t="s">
        <v>546</v>
      </c>
      <c r="F71" t="s">
        <v>1540</v>
      </c>
      <c r="G71" s="7">
        <v>1</v>
      </c>
      <c r="H71" s="7">
        <v>1</v>
      </c>
      <c r="I71" s="7">
        <v>1</v>
      </c>
      <c r="J71" s="7" t="s">
        <v>547</v>
      </c>
      <c r="K71" s="7" t="s">
        <v>827</v>
      </c>
    </row>
    <row r="72" spans="1:11" ht="30" x14ac:dyDescent="0.25">
      <c r="A72" s="7" t="s">
        <v>400</v>
      </c>
      <c r="B72" s="7">
        <v>69</v>
      </c>
      <c r="C72" s="7">
        <v>12</v>
      </c>
      <c r="D72" s="7" t="s">
        <v>14</v>
      </c>
      <c r="E72" s="7" t="s">
        <v>548</v>
      </c>
      <c r="F72" t="s">
        <v>1541</v>
      </c>
      <c r="G72" s="7">
        <v>1</v>
      </c>
      <c r="H72" s="7">
        <v>4</v>
      </c>
      <c r="I72" s="7">
        <v>4</v>
      </c>
      <c r="J72" s="7" t="s">
        <v>549</v>
      </c>
      <c r="K72" s="7" t="s">
        <v>828</v>
      </c>
    </row>
    <row r="73" spans="1:11" ht="60" x14ac:dyDescent="0.25">
      <c r="A73" s="7" t="s">
        <v>400</v>
      </c>
      <c r="B73" s="7">
        <v>70</v>
      </c>
      <c r="C73" s="7">
        <v>12</v>
      </c>
      <c r="D73" s="7" t="s">
        <v>14</v>
      </c>
      <c r="E73" s="7" t="s">
        <v>550</v>
      </c>
      <c r="F73" t="s">
        <v>1542</v>
      </c>
      <c r="G73" s="7">
        <v>1</v>
      </c>
      <c r="H73" s="7">
        <v>7</v>
      </c>
      <c r="I73" s="7">
        <v>7</v>
      </c>
      <c r="J73" s="7" t="s">
        <v>551</v>
      </c>
      <c r="K73" s="7" t="s">
        <v>829</v>
      </c>
    </row>
    <row r="74" spans="1:11" ht="30" x14ac:dyDescent="0.25">
      <c r="A74" s="7" t="s">
        <v>400</v>
      </c>
      <c r="B74" s="7">
        <v>71</v>
      </c>
      <c r="C74" s="7">
        <v>12</v>
      </c>
      <c r="D74" s="7" t="s">
        <v>14</v>
      </c>
      <c r="E74" s="7" t="s">
        <v>533</v>
      </c>
      <c r="F74" t="s">
        <v>1543</v>
      </c>
      <c r="G74" s="7">
        <v>1</v>
      </c>
      <c r="H74" s="7">
        <v>3</v>
      </c>
      <c r="I74" s="7">
        <v>3</v>
      </c>
      <c r="J74" s="7" t="s">
        <v>534</v>
      </c>
      <c r="K74" s="7" t="s">
        <v>830</v>
      </c>
    </row>
    <row r="75" spans="1:11" x14ac:dyDescent="0.25">
      <c r="A75" s="7" t="s">
        <v>400</v>
      </c>
      <c r="B75" s="7">
        <v>72</v>
      </c>
      <c r="C75" s="7">
        <v>12</v>
      </c>
      <c r="D75" s="7" t="s">
        <v>14</v>
      </c>
      <c r="E75" s="7" t="s">
        <v>544</v>
      </c>
      <c r="F75" t="s">
        <v>1544</v>
      </c>
      <c r="G75" s="7">
        <v>1</v>
      </c>
      <c r="H75" s="7">
        <v>1</v>
      </c>
      <c r="I75" s="7">
        <v>1</v>
      </c>
      <c r="J75" s="7" t="s">
        <v>545</v>
      </c>
      <c r="K75" s="7" t="s">
        <v>831</v>
      </c>
    </row>
    <row r="76" spans="1:11" x14ac:dyDescent="0.25">
      <c r="A76" s="7" t="s">
        <v>400</v>
      </c>
      <c r="B76" s="7">
        <v>73</v>
      </c>
      <c r="C76" s="7">
        <v>12</v>
      </c>
      <c r="D76" s="7" t="s">
        <v>14</v>
      </c>
      <c r="E76" s="7" t="s">
        <v>535</v>
      </c>
      <c r="F76" t="s">
        <v>1545</v>
      </c>
      <c r="G76" s="7">
        <v>1</v>
      </c>
      <c r="H76" s="7">
        <v>1</v>
      </c>
      <c r="I76" s="7">
        <v>1</v>
      </c>
      <c r="J76" s="7" t="s">
        <v>536</v>
      </c>
      <c r="K76" s="7" t="s">
        <v>832</v>
      </c>
    </row>
    <row r="77" spans="1:11" ht="30" x14ac:dyDescent="0.25">
      <c r="A77" s="7" t="s">
        <v>400</v>
      </c>
      <c r="B77" s="7">
        <v>74</v>
      </c>
      <c r="C77" s="7">
        <v>12</v>
      </c>
      <c r="D77" s="7" t="s">
        <v>14</v>
      </c>
      <c r="E77" s="7" t="s">
        <v>531</v>
      </c>
      <c r="F77" t="s">
        <v>1546</v>
      </c>
      <c r="G77" s="7">
        <v>1</v>
      </c>
      <c r="H77" s="7">
        <v>2</v>
      </c>
      <c r="I77" s="7">
        <v>2</v>
      </c>
      <c r="J77" s="7" t="s">
        <v>790</v>
      </c>
      <c r="K77" s="7" t="s">
        <v>833</v>
      </c>
    </row>
    <row r="78" spans="1:11" x14ac:dyDescent="0.25">
      <c r="A78" s="7" t="s">
        <v>400</v>
      </c>
      <c r="B78" s="7">
        <v>75</v>
      </c>
      <c r="C78" s="7">
        <v>12</v>
      </c>
      <c r="D78" s="7" t="s">
        <v>14</v>
      </c>
      <c r="E78" s="7" t="s">
        <v>532</v>
      </c>
      <c r="F78" t="s">
        <v>1547</v>
      </c>
      <c r="G78" s="7">
        <v>1</v>
      </c>
      <c r="H78" s="7">
        <v>1</v>
      </c>
      <c r="I78" s="7">
        <v>1</v>
      </c>
      <c r="J78" s="7" t="s">
        <v>834</v>
      </c>
      <c r="K78" s="7" t="s">
        <v>835</v>
      </c>
    </row>
    <row r="79" spans="1:11" ht="30" x14ac:dyDescent="0.25">
      <c r="A79" s="7" t="s">
        <v>400</v>
      </c>
      <c r="B79" s="7">
        <v>76</v>
      </c>
      <c r="C79" s="7">
        <v>12</v>
      </c>
      <c r="D79" s="7" t="s">
        <v>14</v>
      </c>
      <c r="E79" s="7" t="s">
        <v>541</v>
      </c>
      <c r="F79" t="s">
        <v>1548</v>
      </c>
      <c r="G79" s="7">
        <v>1</v>
      </c>
      <c r="H79" s="7">
        <v>2</v>
      </c>
      <c r="I79" s="7">
        <v>2</v>
      </c>
      <c r="J79" s="7" t="s">
        <v>540</v>
      </c>
      <c r="K79" s="7" t="s">
        <v>836</v>
      </c>
    </row>
    <row r="80" spans="1:11" ht="30" x14ac:dyDescent="0.25">
      <c r="A80" s="7" t="s">
        <v>400</v>
      </c>
      <c r="B80" s="7">
        <v>77</v>
      </c>
      <c r="C80" s="7">
        <v>12</v>
      </c>
      <c r="D80" s="7" t="s">
        <v>14</v>
      </c>
      <c r="E80" s="7" t="s">
        <v>539</v>
      </c>
      <c r="F80" t="s">
        <v>1549</v>
      </c>
      <c r="G80" s="7">
        <v>1</v>
      </c>
      <c r="H80" s="7">
        <v>2</v>
      </c>
      <c r="I80" s="7">
        <v>2</v>
      </c>
      <c r="J80" s="7" t="s">
        <v>540</v>
      </c>
      <c r="K80" s="7" t="s">
        <v>837</v>
      </c>
    </row>
    <row r="81" spans="1:11" x14ac:dyDescent="0.25">
      <c r="A81" s="7" t="s">
        <v>400</v>
      </c>
      <c r="B81" s="7">
        <v>78</v>
      </c>
      <c r="C81" s="7">
        <v>12</v>
      </c>
      <c r="D81" s="7" t="s">
        <v>14</v>
      </c>
      <c r="E81" s="7" t="s">
        <v>552</v>
      </c>
      <c r="F81" t="s">
        <v>1550</v>
      </c>
      <c r="G81" s="7">
        <v>1</v>
      </c>
      <c r="H81" s="7">
        <v>1</v>
      </c>
      <c r="I81" s="7">
        <v>1</v>
      </c>
      <c r="J81" s="7" t="s">
        <v>136</v>
      </c>
      <c r="K81" s="7" t="s">
        <v>838</v>
      </c>
    </row>
    <row r="82" spans="1:11" x14ac:dyDescent="0.25">
      <c r="A82" s="7" t="s">
        <v>400</v>
      </c>
      <c r="B82" s="7">
        <v>79</v>
      </c>
      <c r="C82" s="7">
        <v>12</v>
      </c>
      <c r="D82" s="7" t="s">
        <v>14</v>
      </c>
      <c r="E82" s="7" t="s">
        <v>501</v>
      </c>
      <c r="F82" t="s">
        <v>1551</v>
      </c>
      <c r="G82" s="7">
        <v>1</v>
      </c>
      <c r="H82" s="7">
        <v>1</v>
      </c>
      <c r="I82" s="7">
        <v>1</v>
      </c>
      <c r="J82" s="7" t="s">
        <v>135</v>
      </c>
      <c r="K82" s="7" t="s">
        <v>839</v>
      </c>
    </row>
    <row r="83" spans="1:11" ht="45" x14ac:dyDescent="0.25">
      <c r="A83" s="7" t="s">
        <v>400</v>
      </c>
      <c r="B83" s="7">
        <v>80</v>
      </c>
      <c r="C83" s="7">
        <v>12</v>
      </c>
      <c r="D83" s="7" t="s">
        <v>14</v>
      </c>
      <c r="E83" s="7" t="s">
        <v>503</v>
      </c>
      <c r="F83" t="s">
        <v>1552</v>
      </c>
      <c r="G83" s="7">
        <v>1</v>
      </c>
      <c r="H83" s="7">
        <v>3</v>
      </c>
      <c r="I83" s="7">
        <v>3</v>
      </c>
      <c r="J83" s="7" t="s">
        <v>504</v>
      </c>
      <c r="K83" s="7" t="s">
        <v>840</v>
      </c>
    </row>
    <row r="84" spans="1:11" x14ac:dyDescent="0.25">
      <c r="A84" s="7" t="s">
        <v>400</v>
      </c>
      <c r="B84" s="7">
        <v>81</v>
      </c>
      <c r="C84" s="7">
        <v>12</v>
      </c>
      <c r="D84" s="7" t="s">
        <v>14</v>
      </c>
      <c r="E84" s="7" t="s">
        <v>505</v>
      </c>
      <c r="F84" t="s">
        <v>1553</v>
      </c>
      <c r="G84" s="7">
        <v>1</v>
      </c>
      <c r="H84" s="7">
        <v>1</v>
      </c>
      <c r="I84" s="7">
        <v>1</v>
      </c>
      <c r="J84" s="7" t="s">
        <v>506</v>
      </c>
      <c r="K84" s="7" t="s">
        <v>841</v>
      </c>
    </row>
    <row r="85" spans="1:11" ht="45" x14ac:dyDescent="0.25">
      <c r="A85" s="7" t="s">
        <v>400</v>
      </c>
      <c r="B85" s="7">
        <v>82</v>
      </c>
      <c r="C85" s="7">
        <v>12</v>
      </c>
      <c r="D85" s="7" t="s">
        <v>14</v>
      </c>
      <c r="E85" s="7" t="s">
        <v>511</v>
      </c>
      <c r="F85" t="s">
        <v>1554</v>
      </c>
      <c r="G85" s="7">
        <v>1</v>
      </c>
      <c r="H85" s="7">
        <v>8</v>
      </c>
      <c r="I85" s="7">
        <v>8</v>
      </c>
      <c r="J85" s="7" t="s">
        <v>842</v>
      </c>
      <c r="K85" s="7" t="s">
        <v>843</v>
      </c>
    </row>
    <row r="86" spans="1:11" ht="45" x14ac:dyDescent="0.25">
      <c r="A86" s="7" t="s">
        <v>400</v>
      </c>
      <c r="B86" s="7">
        <v>83</v>
      </c>
      <c r="C86" s="7">
        <v>12</v>
      </c>
      <c r="D86" s="7" t="s">
        <v>14</v>
      </c>
      <c r="E86" s="7" t="s">
        <v>507</v>
      </c>
      <c r="F86" t="s">
        <v>1555</v>
      </c>
      <c r="G86" s="7">
        <v>1</v>
      </c>
      <c r="H86" s="7">
        <v>3</v>
      </c>
      <c r="I86" s="7">
        <v>3</v>
      </c>
      <c r="J86" s="7" t="s">
        <v>508</v>
      </c>
      <c r="K86" s="7" t="s">
        <v>844</v>
      </c>
    </row>
    <row r="87" spans="1:11" x14ac:dyDescent="0.25">
      <c r="A87" s="7" t="s">
        <v>400</v>
      </c>
      <c r="B87" s="7">
        <v>84</v>
      </c>
      <c r="C87" s="7">
        <v>12</v>
      </c>
      <c r="D87" s="7" t="s">
        <v>14</v>
      </c>
      <c r="E87" s="7" t="s">
        <v>516</v>
      </c>
      <c r="F87" t="s">
        <v>1556</v>
      </c>
      <c r="G87" s="7">
        <v>1</v>
      </c>
      <c r="H87" s="7">
        <v>1</v>
      </c>
      <c r="I87" s="7">
        <v>1</v>
      </c>
      <c r="J87" s="7" t="s">
        <v>517</v>
      </c>
      <c r="K87" s="7" t="s">
        <v>845</v>
      </c>
    </row>
    <row r="88" spans="1:11" x14ac:dyDescent="0.25">
      <c r="A88" s="7" t="s">
        <v>400</v>
      </c>
      <c r="B88" s="7">
        <v>85</v>
      </c>
      <c r="C88" s="7">
        <v>12</v>
      </c>
      <c r="D88" s="7" t="s">
        <v>14</v>
      </c>
      <c r="E88" s="7" t="s">
        <v>514</v>
      </c>
      <c r="F88" t="s">
        <v>1557</v>
      </c>
      <c r="G88" s="7">
        <v>1</v>
      </c>
      <c r="H88" s="7">
        <v>1</v>
      </c>
      <c r="I88" s="7">
        <v>1</v>
      </c>
      <c r="J88" s="7" t="s">
        <v>515</v>
      </c>
      <c r="K88" s="7" t="s">
        <v>846</v>
      </c>
    </row>
    <row r="89" spans="1:11" ht="45" x14ac:dyDescent="0.25">
      <c r="A89" s="7" t="s">
        <v>400</v>
      </c>
      <c r="B89" s="7">
        <v>86</v>
      </c>
      <c r="C89" s="7">
        <v>12</v>
      </c>
      <c r="D89" s="7" t="s">
        <v>14</v>
      </c>
      <c r="E89" s="7" t="s">
        <v>512</v>
      </c>
      <c r="F89" t="s">
        <v>1558</v>
      </c>
      <c r="G89" s="7">
        <v>1</v>
      </c>
      <c r="H89" s="7">
        <v>6</v>
      </c>
      <c r="I89" s="7">
        <v>6</v>
      </c>
      <c r="J89" s="7" t="s">
        <v>847</v>
      </c>
      <c r="K89" s="7" t="s">
        <v>848</v>
      </c>
    </row>
    <row r="90" spans="1:11" x14ac:dyDescent="0.25">
      <c r="A90" s="7" t="s">
        <v>400</v>
      </c>
      <c r="B90" s="7">
        <v>87</v>
      </c>
      <c r="C90" s="7">
        <v>12</v>
      </c>
      <c r="D90" s="7" t="s">
        <v>14</v>
      </c>
      <c r="E90" s="7" t="s">
        <v>509</v>
      </c>
      <c r="F90" t="s">
        <v>1559</v>
      </c>
      <c r="G90" s="7">
        <v>1</v>
      </c>
      <c r="H90" s="7">
        <v>1</v>
      </c>
      <c r="I90" s="7">
        <v>1</v>
      </c>
      <c r="J90" s="7" t="s">
        <v>510</v>
      </c>
      <c r="K90" s="7" t="s">
        <v>849</v>
      </c>
    </row>
    <row r="91" spans="1:11" ht="45" x14ac:dyDescent="0.25">
      <c r="A91" s="7" t="s">
        <v>400</v>
      </c>
      <c r="B91" s="7">
        <v>88</v>
      </c>
      <c r="C91" s="7">
        <v>12</v>
      </c>
      <c r="D91" s="7" t="s">
        <v>14</v>
      </c>
      <c r="E91" s="7" t="s">
        <v>513</v>
      </c>
      <c r="F91" t="s">
        <v>1560</v>
      </c>
      <c r="G91" s="7">
        <v>1</v>
      </c>
      <c r="H91" s="7">
        <v>24</v>
      </c>
      <c r="I91" s="7">
        <v>24</v>
      </c>
      <c r="J91" s="7" t="s">
        <v>504</v>
      </c>
      <c r="K91" s="7" t="s">
        <v>850</v>
      </c>
    </row>
    <row r="92" spans="1:11" x14ac:dyDescent="0.25">
      <c r="A92" s="7" t="s">
        <v>400</v>
      </c>
      <c r="B92" s="7">
        <v>89</v>
      </c>
      <c r="C92" s="7">
        <v>12</v>
      </c>
      <c r="D92" s="7" t="s">
        <v>14</v>
      </c>
      <c r="E92" s="7" t="s">
        <v>467</v>
      </c>
      <c r="F92" t="s">
        <v>1561</v>
      </c>
      <c r="G92" s="7">
        <v>1</v>
      </c>
      <c r="H92" s="7">
        <v>1</v>
      </c>
      <c r="I92" s="7">
        <v>1</v>
      </c>
      <c r="J92" s="7" t="s">
        <v>468</v>
      </c>
      <c r="K92" s="7" t="s">
        <v>851</v>
      </c>
    </row>
    <row r="93" spans="1:11" x14ac:dyDescent="0.25">
      <c r="A93" s="7" t="s">
        <v>400</v>
      </c>
      <c r="B93" s="7">
        <v>90</v>
      </c>
      <c r="C93" s="7">
        <v>12</v>
      </c>
      <c r="D93" s="7" t="s">
        <v>14</v>
      </c>
      <c r="E93" s="7" t="s">
        <v>472</v>
      </c>
      <c r="F93" t="s">
        <v>1562</v>
      </c>
      <c r="G93" s="7">
        <v>1</v>
      </c>
      <c r="H93" s="7">
        <v>2</v>
      </c>
      <c r="I93" s="7">
        <v>2</v>
      </c>
      <c r="J93" s="7" t="s">
        <v>473</v>
      </c>
      <c r="K93" s="7" t="s">
        <v>852</v>
      </c>
    </row>
    <row r="94" spans="1:11" x14ac:dyDescent="0.25">
      <c r="A94" s="7" t="s">
        <v>400</v>
      </c>
      <c r="B94" s="7">
        <v>91</v>
      </c>
      <c r="C94" s="7">
        <v>12</v>
      </c>
      <c r="D94" s="7" t="s">
        <v>14</v>
      </c>
      <c r="E94" s="7" t="s">
        <v>470</v>
      </c>
      <c r="F94" t="s">
        <v>1563</v>
      </c>
      <c r="G94" s="7">
        <v>1</v>
      </c>
      <c r="H94" s="7">
        <v>1</v>
      </c>
      <c r="I94" s="7">
        <v>1</v>
      </c>
      <c r="J94" s="7" t="s">
        <v>471</v>
      </c>
      <c r="K94" s="7" t="s">
        <v>853</v>
      </c>
    </row>
    <row r="95" spans="1:11" x14ac:dyDescent="0.25">
      <c r="A95" s="7" t="s">
        <v>400</v>
      </c>
      <c r="B95" s="7">
        <v>92</v>
      </c>
      <c r="C95" s="7">
        <v>12</v>
      </c>
      <c r="D95" s="7" t="s">
        <v>14</v>
      </c>
      <c r="E95" s="7" t="s">
        <v>474</v>
      </c>
      <c r="F95" t="s">
        <v>1564</v>
      </c>
      <c r="G95" s="7">
        <v>1</v>
      </c>
      <c r="H95" s="7">
        <v>1</v>
      </c>
      <c r="I95" s="7">
        <v>1</v>
      </c>
      <c r="J95" s="7" t="s">
        <v>475</v>
      </c>
      <c r="K95" s="7" t="s">
        <v>854</v>
      </c>
    </row>
    <row r="96" spans="1:11" x14ac:dyDescent="0.25">
      <c r="A96" s="7" t="s">
        <v>400</v>
      </c>
      <c r="B96" s="7">
        <v>93</v>
      </c>
      <c r="C96" s="7">
        <v>12</v>
      </c>
      <c r="D96" s="7" t="s">
        <v>14</v>
      </c>
      <c r="E96" s="7" t="s">
        <v>469</v>
      </c>
      <c r="F96" t="s">
        <v>1565</v>
      </c>
      <c r="G96" s="7">
        <v>1</v>
      </c>
      <c r="H96" s="7">
        <v>1</v>
      </c>
      <c r="I96" s="7">
        <v>1</v>
      </c>
      <c r="J96" s="7" t="s">
        <v>468</v>
      </c>
      <c r="K96" s="7" t="s">
        <v>855</v>
      </c>
    </row>
    <row r="97" spans="1:11" x14ac:dyDescent="0.25">
      <c r="A97" s="7" t="s">
        <v>400</v>
      </c>
      <c r="B97" s="7">
        <v>94</v>
      </c>
      <c r="C97" s="7">
        <v>12</v>
      </c>
      <c r="D97" s="7" t="s">
        <v>14</v>
      </c>
      <c r="E97" s="7" t="s">
        <v>518</v>
      </c>
      <c r="F97" t="s">
        <v>1566</v>
      </c>
      <c r="G97" s="7">
        <v>1</v>
      </c>
      <c r="H97" s="7">
        <v>1</v>
      </c>
      <c r="I97" s="7">
        <v>1</v>
      </c>
      <c r="J97" s="7" t="s">
        <v>519</v>
      </c>
      <c r="K97" s="7" t="s">
        <v>856</v>
      </c>
    </row>
    <row r="98" spans="1:11" ht="90" x14ac:dyDescent="0.25">
      <c r="A98" s="7" t="s">
        <v>400</v>
      </c>
      <c r="B98" s="7">
        <v>95</v>
      </c>
      <c r="C98" s="7">
        <v>12</v>
      </c>
      <c r="D98" s="7" t="s">
        <v>14</v>
      </c>
      <c r="E98" s="7" t="s">
        <v>476</v>
      </c>
      <c r="F98" t="s">
        <v>1567</v>
      </c>
      <c r="G98" s="7">
        <v>1</v>
      </c>
      <c r="H98" s="7">
        <v>7</v>
      </c>
      <c r="I98" s="7">
        <v>7</v>
      </c>
      <c r="J98" s="7" t="s">
        <v>477</v>
      </c>
      <c r="K98" s="7" t="s">
        <v>857</v>
      </c>
    </row>
    <row r="99" spans="1:11" ht="60" x14ac:dyDescent="0.25">
      <c r="A99" s="7" t="s">
        <v>400</v>
      </c>
      <c r="B99" s="7">
        <v>96</v>
      </c>
      <c r="C99" s="7">
        <v>12</v>
      </c>
      <c r="D99" s="7" t="s">
        <v>14</v>
      </c>
      <c r="E99" s="7" t="s">
        <v>480</v>
      </c>
      <c r="F99" t="s">
        <v>1568</v>
      </c>
      <c r="G99" s="7">
        <v>1</v>
      </c>
      <c r="H99" s="7">
        <v>7</v>
      </c>
      <c r="I99" s="7">
        <v>7</v>
      </c>
      <c r="J99" s="7" t="s">
        <v>477</v>
      </c>
      <c r="K99" s="7" t="s">
        <v>858</v>
      </c>
    </row>
    <row r="100" spans="1:11" x14ac:dyDescent="0.25">
      <c r="A100" s="7" t="s">
        <v>400</v>
      </c>
      <c r="B100" s="7">
        <v>97</v>
      </c>
      <c r="C100" s="7">
        <v>12</v>
      </c>
      <c r="D100" s="7" t="s">
        <v>14</v>
      </c>
      <c r="E100" s="7" t="s">
        <v>490</v>
      </c>
      <c r="F100" t="s">
        <v>1569</v>
      </c>
      <c r="G100" s="7">
        <v>1</v>
      </c>
      <c r="H100" s="7">
        <v>5</v>
      </c>
      <c r="I100" s="7">
        <v>0</v>
      </c>
      <c r="J100" s="7" t="s">
        <v>489</v>
      </c>
      <c r="K100" s="7" t="s">
        <v>935</v>
      </c>
    </row>
    <row r="101" spans="1:11" ht="30" x14ac:dyDescent="0.25">
      <c r="A101" s="7" t="s">
        <v>400</v>
      </c>
      <c r="B101" s="7">
        <v>98</v>
      </c>
      <c r="C101" s="7">
        <v>12</v>
      </c>
      <c r="D101" s="7" t="s">
        <v>14</v>
      </c>
      <c r="E101" s="7" t="s">
        <v>479</v>
      </c>
      <c r="F101" t="s">
        <v>1570</v>
      </c>
      <c r="G101" s="7">
        <v>1</v>
      </c>
      <c r="H101" s="7">
        <v>2</v>
      </c>
      <c r="I101" s="7">
        <v>2</v>
      </c>
      <c r="J101" s="7" t="s">
        <v>485</v>
      </c>
      <c r="K101" s="7" t="s">
        <v>859</v>
      </c>
    </row>
    <row r="102" spans="1:11" ht="30" x14ac:dyDescent="0.25">
      <c r="A102" s="7" t="s">
        <v>400</v>
      </c>
      <c r="B102" s="7">
        <v>99</v>
      </c>
      <c r="C102" s="7">
        <v>12</v>
      </c>
      <c r="D102" s="7" t="s">
        <v>14</v>
      </c>
      <c r="E102" s="7" t="s">
        <v>488</v>
      </c>
      <c r="F102" t="s">
        <v>1571</v>
      </c>
      <c r="G102" s="7">
        <v>1</v>
      </c>
      <c r="H102" s="7">
        <v>5</v>
      </c>
      <c r="I102" s="7">
        <v>5</v>
      </c>
      <c r="J102" s="7" t="s">
        <v>489</v>
      </c>
      <c r="K102" s="7" t="s">
        <v>860</v>
      </c>
    </row>
    <row r="103" spans="1:11" ht="30" x14ac:dyDescent="0.25">
      <c r="A103" s="7" t="s">
        <v>400</v>
      </c>
      <c r="B103" s="7">
        <v>100</v>
      </c>
      <c r="C103" s="7">
        <v>12</v>
      </c>
      <c r="D103" s="7" t="s">
        <v>14</v>
      </c>
      <c r="E103" s="7" t="s">
        <v>483</v>
      </c>
      <c r="F103" t="s">
        <v>1572</v>
      </c>
      <c r="G103" s="7">
        <v>1</v>
      </c>
      <c r="H103" s="7">
        <v>3</v>
      </c>
      <c r="I103" s="7">
        <v>3</v>
      </c>
      <c r="J103" s="7" t="s">
        <v>482</v>
      </c>
      <c r="K103" s="7" t="s">
        <v>861</v>
      </c>
    </row>
    <row r="104" spans="1:11" ht="30" x14ac:dyDescent="0.25">
      <c r="A104" s="7" t="s">
        <v>400</v>
      </c>
      <c r="B104" s="7">
        <v>101</v>
      </c>
      <c r="C104" s="7">
        <v>12</v>
      </c>
      <c r="D104" s="7" t="s">
        <v>14</v>
      </c>
      <c r="E104" s="7" t="s">
        <v>481</v>
      </c>
      <c r="F104" t="s">
        <v>1573</v>
      </c>
      <c r="G104" s="7">
        <v>1</v>
      </c>
      <c r="H104" s="7">
        <v>3</v>
      </c>
      <c r="I104" s="7">
        <v>3</v>
      </c>
      <c r="J104" s="7" t="s">
        <v>482</v>
      </c>
      <c r="K104" s="7" t="s">
        <v>862</v>
      </c>
    </row>
    <row r="105" spans="1:11" x14ac:dyDescent="0.25">
      <c r="A105" s="7" t="s">
        <v>400</v>
      </c>
      <c r="B105" s="7">
        <v>102</v>
      </c>
      <c r="C105" s="7">
        <v>12</v>
      </c>
      <c r="D105" s="7" t="s">
        <v>14</v>
      </c>
      <c r="E105" s="7" t="s">
        <v>484</v>
      </c>
      <c r="F105" t="s">
        <v>1574</v>
      </c>
      <c r="G105" s="7">
        <v>1</v>
      </c>
      <c r="H105" s="7">
        <v>2</v>
      </c>
      <c r="I105" s="7">
        <v>2</v>
      </c>
      <c r="J105" s="7" t="s">
        <v>485</v>
      </c>
      <c r="K105" s="7" t="s">
        <v>863</v>
      </c>
    </row>
    <row r="106" spans="1:11" x14ac:dyDescent="0.25">
      <c r="A106" s="7" t="s">
        <v>400</v>
      </c>
      <c r="B106" s="7">
        <v>103</v>
      </c>
      <c r="C106" s="7">
        <v>12</v>
      </c>
      <c r="D106" s="7" t="s">
        <v>14</v>
      </c>
      <c r="E106" s="7" t="s">
        <v>502</v>
      </c>
      <c r="F106" t="s">
        <v>1575</v>
      </c>
      <c r="G106" s="7">
        <v>1</v>
      </c>
      <c r="H106" s="7">
        <v>2</v>
      </c>
      <c r="I106" s="7">
        <v>2</v>
      </c>
      <c r="J106" s="7" t="s">
        <v>461</v>
      </c>
      <c r="K106" s="7" t="s">
        <v>864</v>
      </c>
    </row>
    <row r="107" spans="1:11" x14ac:dyDescent="0.25">
      <c r="A107" s="7" t="s">
        <v>400</v>
      </c>
      <c r="B107" s="7">
        <v>104</v>
      </c>
      <c r="C107" s="7">
        <v>12</v>
      </c>
      <c r="D107" s="7" t="s">
        <v>14</v>
      </c>
      <c r="E107" s="7" t="s">
        <v>460</v>
      </c>
      <c r="F107" t="s">
        <v>1576</v>
      </c>
      <c r="G107" s="7">
        <v>1</v>
      </c>
      <c r="H107" s="7">
        <v>2</v>
      </c>
      <c r="I107" s="7">
        <v>2</v>
      </c>
      <c r="J107" s="7" t="s">
        <v>461</v>
      </c>
      <c r="K107" s="7" t="s">
        <v>894</v>
      </c>
    </row>
    <row r="108" spans="1:11" x14ac:dyDescent="0.25">
      <c r="A108" s="7" t="s">
        <v>400</v>
      </c>
      <c r="B108" s="7">
        <v>105</v>
      </c>
      <c r="C108" s="7">
        <v>12</v>
      </c>
      <c r="D108" s="7" t="s">
        <v>14</v>
      </c>
      <c r="E108" s="7" t="s">
        <v>87</v>
      </c>
      <c r="F108" t="s">
        <v>1577</v>
      </c>
      <c r="G108" s="7">
        <v>1</v>
      </c>
      <c r="H108" s="7">
        <v>2</v>
      </c>
      <c r="I108" s="7">
        <v>2</v>
      </c>
      <c r="J108" s="7" t="s">
        <v>461</v>
      </c>
      <c r="K108" s="7" t="s">
        <v>895</v>
      </c>
    </row>
    <row r="109" spans="1:11" x14ac:dyDescent="0.25">
      <c r="A109" s="7" t="s">
        <v>400</v>
      </c>
      <c r="B109" s="7">
        <v>106</v>
      </c>
      <c r="C109" s="7">
        <v>12</v>
      </c>
      <c r="D109" s="7" t="s">
        <v>14</v>
      </c>
      <c r="E109" s="7" t="s">
        <v>15</v>
      </c>
      <c r="F109" t="s">
        <v>1578</v>
      </c>
      <c r="G109" s="7">
        <v>1</v>
      </c>
      <c r="H109" s="7">
        <v>2</v>
      </c>
      <c r="I109" s="7">
        <v>2</v>
      </c>
      <c r="J109" s="7" t="s">
        <v>461</v>
      </c>
      <c r="K109" s="7" t="s">
        <v>865</v>
      </c>
    </row>
    <row r="110" spans="1:11" x14ac:dyDescent="0.25">
      <c r="A110" s="7" t="s">
        <v>400</v>
      </c>
      <c r="B110" s="7">
        <v>107</v>
      </c>
      <c r="C110" s="7">
        <v>12</v>
      </c>
      <c r="D110" s="7" t="s">
        <v>14</v>
      </c>
      <c r="E110" s="7" t="s">
        <v>17</v>
      </c>
      <c r="F110" t="s">
        <v>1579</v>
      </c>
      <c r="G110" s="7">
        <v>1</v>
      </c>
      <c r="H110" s="7">
        <v>1</v>
      </c>
      <c r="I110" s="7">
        <v>1</v>
      </c>
      <c r="J110" s="7" t="s">
        <v>16</v>
      </c>
      <c r="K110" s="7" t="s">
        <v>866</v>
      </c>
    </row>
    <row r="111" spans="1:11" ht="30" x14ac:dyDescent="0.25">
      <c r="A111" s="7" t="s">
        <v>400</v>
      </c>
      <c r="B111" s="7">
        <v>108</v>
      </c>
      <c r="C111" s="7">
        <v>12</v>
      </c>
      <c r="D111" s="7" t="s">
        <v>14</v>
      </c>
      <c r="E111" s="7" t="s">
        <v>542</v>
      </c>
      <c r="F111" t="s">
        <v>1580</v>
      </c>
      <c r="G111" s="7">
        <v>1</v>
      </c>
      <c r="H111" s="7">
        <v>12</v>
      </c>
      <c r="I111" s="7">
        <v>12</v>
      </c>
      <c r="J111" s="7" t="s">
        <v>867</v>
      </c>
      <c r="K111" s="7" t="s">
        <v>868</v>
      </c>
    </row>
    <row r="112" spans="1:11" ht="30" x14ac:dyDescent="0.25">
      <c r="A112" s="7" t="s">
        <v>400</v>
      </c>
      <c r="B112" s="7">
        <v>109</v>
      </c>
      <c r="C112" s="7">
        <v>12</v>
      </c>
      <c r="D112" s="7" t="s">
        <v>14</v>
      </c>
      <c r="E112" s="7" t="s">
        <v>543</v>
      </c>
      <c r="F112" t="s">
        <v>1581</v>
      </c>
      <c r="G112" s="7">
        <v>1</v>
      </c>
      <c r="H112" s="7">
        <v>12</v>
      </c>
      <c r="I112" s="7">
        <v>12</v>
      </c>
      <c r="J112" s="7" t="s">
        <v>867</v>
      </c>
      <c r="K112" s="7" t="s">
        <v>869</v>
      </c>
    </row>
    <row r="113" spans="1:11" x14ac:dyDescent="0.25">
      <c r="A113" s="7" t="s">
        <v>400</v>
      </c>
      <c r="B113" s="7">
        <v>110</v>
      </c>
      <c r="C113" s="7">
        <v>12</v>
      </c>
      <c r="D113" s="7" t="s">
        <v>14</v>
      </c>
      <c r="E113" s="7" t="s">
        <v>530</v>
      </c>
      <c r="F113" t="s">
        <v>1582</v>
      </c>
      <c r="G113" s="7">
        <v>1</v>
      </c>
      <c r="H113" s="7">
        <v>1</v>
      </c>
      <c r="I113" s="7">
        <v>1</v>
      </c>
      <c r="J113" s="7" t="s">
        <v>86</v>
      </c>
      <c r="K113" s="7" t="s">
        <v>870</v>
      </c>
    </row>
    <row r="114" spans="1:11" x14ac:dyDescent="0.25">
      <c r="A114" s="7" t="s">
        <v>400</v>
      </c>
      <c r="B114" s="7">
        <v>111</v>
      </c>
      <c r="C114" s="7">
        <v>12</v>
      </c>
      <c r="D114" s="7" t="s">
        <v>14</v>
      </c>
      <c r="E114" s="7" t="s">
        <v>521</v>
      </c>
      <c r="F114" t="s">
        <v>1583</v>
      </c>
      <c r="G114" s="7">
        <v>1</v>
      </c>
      <c r="H114" s="7">
        <v>1</v>
      </c>
      <c r="I114" s="7">
        <v>1</v>
      </c>
      <c r="J114" s="7" t="s">
        <v>84</v>
      </c>
      <c r="K114" s="7" t="s">
        <v>871</v>
      </c>
    </row>
    <row r="115" spans="1:11" x14ac:dyDescent="0.25">
      <c r="A115" s="7" t="s">
        <v>400</v>
      </c>
      <c r="B115" s="7">
        <v>112</v>
      </c>
      <c r="C115" s="7">
        <v>12</v>
      </c>
      <c r="D115" s="7" t="s">
        <v>14</v>
      </c>
      <c r="E115" s="7" t="s">
        <v>529</v>
      </c>
      <c r="F115" t="s">
        <v>1584</v>
      </c>
      <c r="G115" s="7">
        <v>1</v>
      </c>
      <c r="H115" s="7">
        <v>1</v>
      </c>
      <c r="I115" s="7">
        <v>1</v>
      </c>
      <c r="J115" s="7" t="s">
        <v>85</v>
      </c>
      <c r="K115" s="7" t="s">
        <v>872</v>
      </c>
    </row>
    <row r="116" spans="1:11" x14ac:dyDescent="0.25">
      <c r="A116" s="7" t="s">
        <v>400</v>
      </c>
      <c r="B116" s="7">
        <v>113</v>
      </c>
      <c r="C116" s="7">
        <v>12</v>
      </c>
      <c r="D116" s="7" t="s">
        <v>14</v>
      </c>
      <c r="E116" s="7" t="s">
        <v>520</v>
      </c>
      <c r="F116" t="s">
        <v>1585</v>
      </c>
      <c r="G116" s="7">
        <v>1</v>
      </c>
      <c r="H116" s="7">
        <v>1</v>
      </c>
      <c r="I116" s="7">
        <v>1</v>
      </c>
      <c r="J116" s="7" t="s">
        <v>83</v>
      </c>
      <c r="K116" s="7" t="s">
        <v>873</v>
      </c>
    </row>
    <row r="117" spans="1:11" x14ac:dyDescent="0.25">
      <c r="A117" s="7" t="s">
        <v>400</v>
      </c>
      <c r="B117" s="7">
        <v>114</v>
      </c>
      <c r="C117" s="7">
        <v>12</v>
      </c>
      <c r="D117" s="7" t="s">
        <v>14</v>
      </c>
      <c r="E117" s="7" t="s">
        <v>522</v>
      </c>
      <c r="F117" t="s">
        <v>1586</v>
      </c>
      <c r="G117" s="7">
        <v>1</v>
      </c>
      <c r="H117" s="7">
        <v>2</v>
      </c>
      <c r="I117" s="7">
        <v>2</v>
      </c>
      <c r="J117" s="7" t="s">
        <v>523</v>
      </c>
      <c r="K117" s="7" t="s">
        <v>874</v>
      </c>
    </row>
    <row r="118" spans="1:11" x14ac:dyDescent="0.25">
      <c r="A118" s="7" t="s">
        <v>400</v>
      </c>
      <c r="B118" s="7">
        <v>115</v>
      </c>
      <c r="C118" s="7">
        <v>12</v>
      </c>
      <c r="D118" s="7" t="s">
        <v>14</v>
      </c>
      <c r="E118" s="7" t="s">
        <v>525</v>
      </c>
      <c r="F118" t="s">
        <v>1587</v>
      </c>
      <c r="G118" s="7">
        <v>1</v>
      </c>
      <c r="H118" s="7">
        <v>1</v>
      </c>
      <c r="I118" s="7">
        <v>1</v>
      </c>
      <c r="J118" s="7" t="s">
        <v>85</v>
      </c>
      <c r="K118" s="7" t="s">
        <v>936</v>
      </c>
    </row>
    <row r="119" spans="1:11" x14ac:dyDescent="0.25">
      <c r="A119" s="7" t="s">
        <v>400</v>
      </c>
      <c r="B119" s="7">
        <v>116</v>
      </c>
      <c r="C119" s="7">
        <v>12</v>
      </c>
      <c r="D119" s="7" t="s">
        <v>14</v>
      </c>
      <c r="E119" s="7" t="s">
        <v>524</v>
      </c>
      <c r="F119" t="s">
        <v>1588</v>
      </c>
      <c r="G119" s="7">
        <v>1</v>
      </c>
      <c r="H119" s="7">
        <v>2</v>
      </c>
      <c r="I119" s="7">
        <v>2</v>
      </c>
      <c r="J119" s="7" t="s">
        <v>523</v>
      </c>
      <c r="K119" s="7" t="s">
        <v>937</v>
      </c>
    </row>
    <row r="120" spans="1:11" x14ac:dyDescent="0.25">
      <c r="A120" s="7" t="s">
        <v>400</v>
      </c>
      <c r="B120" s="7">
        <v>117</v>
      </c>
      <c r="C120" s="7">
        <v>12</v>
      </c>
      <c r="D120" s="7" t="s">
        <v>14</v>
      </c>
      <c r="E120" s="7" t="s">
        <v>526</v>
      </c>
      <c r="F120" t="s">
        <v>1589</v>
      </c>
      <c r="G120" s="7">
        <v>1</v>
      </c>
      <c r="H120" s="7">
        <v>1</v>
      </c>
      <c r="I120" s="7">
        <v>1</v>
      </c>
      <c r="J120" s="7" t="s">
        <v>83</v>
      </c>
      <c r="K120" s="7" t="s">
        <v>938</v>
      </c>
    </row>
    <row r="121" spans="1:11" ht="30" x14ac:dyDescent="0.25">
      <c r="A121" s="7" t="s">
        <v>400</v>
      </c>
      <c r="B121" s="7">
        <v>118</v>
      </c>
      <c r="C121" s="7">
        <v>12</v>
      </c>
      <c r="D121" s="7" t="s">
        <v>14</v>
      </c>
      <c r="E121" s="7" t="s">
        <v>527</v>
      </c>
      <c r="F121" t="s">
        <v>1590</v>
      </c>
      <c r="G121" s="7">
        <v>1</v>
      </c>
      <c r="H121" s="7">
        <v>2</v>
      </c>
      <c r="I121" s="7">
        <v>2</v>
      </c>
      <c r="J121" s="7" t="s">
        <v>528</v>
      </c>
      <c r="K121" s="7" t="s">
        <v>939</v>
      </c>
    </row>
    <row r="122" spans="1:11" x14ac:dyDescent="0.25">
      <c r="A122" s="7" t="s">
        <v>400</v>
      </c>
      <c r="B122" s="7">
        <v>119</v>
      </c>
      <c r="C122" s="7">
        <v>12</v>
      </c>
      <c r="D122" s="7" t="s">
        <v>555</v>
      </c>
      <c r="E122" s="7" t="s">
        <v>562</v>
      </c>
      <c r="F122" t="s">
        <v>1591</v>
      </c>
      <c r="G122" s="7">
        <v>1</v>
      </c>
      <c r="H122" s="7">
        <v>5</v>
      </c>
      <c r="I122" s="7">
        <v>5</v>
      </c>
      <c r="J122" s="7" t="s">
        <v>563</v>
      </c>
      <c r="K122" s="7" t="s">
        <v>875</v>
      </c>
    </row>
    <row r="123" spans="1:11" x14ac:dyDescent="0.25">
      <c r="A123" s="7" t="s">
        <v>400</v>
      </c>
      <c r="B123" s="7">
        <v>120</v>
      </c>
      <c r="C123" s="7">
        <v>12</v>
      </c>
      <c r="D123" s="7" t="s">
        <v>555</v>
      </c>
      <c r="E123" s="7" t="s">
        <v>564</v>
      </c>
      <c r="F123" t="s">
        <v>1592</v>
      </c>
      <c r="G123" s="7">
        <v>1</v>
      </c>
      <c r="H123" s="7">
        <v>5</v>
      </c>
      <c r="I123" s="7">
        <v>5</v>
      </c>
      <c r="J123" s="7" t="s">
        <v>565</v>
      </c>
      <c r="K123" s="7" t="s">
        <v>876</v>
      </c>
    </row>
    <row r="124" spans="1:11" x14ac:dyDescent="0.25">
      <c r="A124" s="7" t="s">
        <v>400</v>
      </c>
      <c r="B124" s="7">
        <v>121</v>
      </c>
      <c r="C124" s="7">
        <v>12</v>
      </c>
      <c r="D124" s="7" t="s">
        <v>555</v>
      </c>
      <c r="E124" s="7" t="s">
        <v>566</v>
      </c>
      <c r="F124" t="s">
        <v>1593</v>
      </c>
      <c r="G124" s="7">
        <v>1</v>
      </c>
      <c r="H124" s="7">
        <v>6</v>
      </c>
      <c r="I124" s="7">
        <v>0</v>
      </c>
      <c r="J124" s="7" t="s">
        <v>567</v>
      </c>
      <c r="K124" s="7" t="s">
        <v>877</v>
      </c>
    </row>
    <row r="125" spans="1:11" x14ac:dyDescent="0.25">
      <c r="A125" s="7" t="s">
        <v>400</v>
      </c>
      <c r="B125" s="7">
        <v>122</v>
      </c>
      <c r="C125" s="7">
        <v>12</v>
      </c>
      <c r="D125" s="7" t="s">
        <v>555</v>
      </c>
      <c r="E125" s="7" t="s">
        <v>570</v>
      </c>
      <c r="F125" t="s">
        <v>1594</v>
      </c>
      <c r="G125" s="7">
        <v>1</v>
      </c>
      <c r="H125" s="7">
        <v>1</v>
      </c>
      <c r="I125" s="7">
        <v>1</v>
      </c>
      <c r="J125" s="7" t="s">
        <v>353</v>
      </c>
      <c r="K125" s="7" t="s">
        <v>878</v>
      </c>
    </row>
    <row r="126" spans="1:11" x14ac:dyDescent="0.25">
      <c r="A126" s="7" t="s">
        <v>400</v>
      </c>
      <c r="B126" s="7">
        <v>123</v>
      </c>
      <c r="C126" s="7">
        <v>12</v>
      </c>
      <c r="D126" s="7" t="s">
        <v>555</v>
      </c>
      <c r="E126" s="7" t="s">
        <v>568</v>
      </c>
      <c r="F126" t="s">
        <v>1595</v>
      </c>
      <c r="G126" s="7">
        <v>1</v>
      </c>
      <c r="H126" s="7">
        <v>1</v>
      </c>
      <c r="I126" s="7">
        <v>1</v>
      </c>
      <c r="J126" s="7" t="s">
        <v>353</v>
      </c>
      <c r="K126" s="7" t="s">
        <v>879</v>
      </c>
    </row>
    <row r="127" spans="1:11" x14ac:dyDescent="0.25">
      <c r="A127" s="7" t="s">
        <v>400</v>
      </c>
      <c r="B127" s="7">
        <v>124</v>
      </c>
      <c r="C127" s="7">
        <v>12</v>
      </c>
      <c r="D127" s="7" t="s">
        <v>555</v>
      </c>
      <c r="E127" s="7" t="s">
        <v>569</v>
      </c>
      <c r="F127" t="s">
        <v>1596</v>
      </c>
      <c r="G127" s="7">
        <v>1</v>
      </c>
      <c r="H127" s="7">
        <v>2</v>
      </c>
      <c r="I127" s="7">
        <v>2</v>
      </c>
      <c r="J127" s="7" t="s">
        <v>353</v>
      </c>
      <c r="K127" s="7" t="s">
        <v>880</v>
      </c>
    </row>
    <row r="128" spans="1:11" x14ac:dyDescent="0.25">
      <c r="A128" s="7" t="s">
        <v>400</v>
      </c>
      <c r="B128" s="7">
        <v>125</v>
      </c>
      <c r="C128" s="7">
        <v>12</v>
      </c>
      <c r="D128" s="7" t="s">
        <v>555</v>
      </c>
      <c r="E128" s="7" t="s">
        <v>573</v>
      </c>
      <c r="F128" t="s">
        <v>1597</v>
      </c>
      <c r="G128" s="7">
        <v>1</v>
      </c>
      <c r="H128" s="7">
        <v>2</v>
      </c>
      <c r="I128" s="7">
        <v>2</v>
      </c>
      <c r="J128" s="7" t="s">
        <v>353</v>
      </c>
      <c r="K128" s="7" t="s">
        <v>881</v>
      </c>
    </row>
    <row r="129" spans="1:11" x14ac:dyDescent="0.25">
      <c r="A129" s="7" t="s">
        <v>400</v>
      </c>
      <c r="B129" s="7">
        <v>126</v>
      </c>
      <c r="C129" s="7">
        <v>12</v>
      </c>
      <c r="D129" s="7" t="s">
        <v>555</v>
      </c>
      <c r="E129" s="7" t="s">
        <v>571</v>
      </c>
      <c r="F129" t="s">
        <v>1598</v>
      </c>
      <c r="G129" s="7">
        <v>1</v>
      </c>
      <c r="H129" s="7">
        <v>2</v>
      </c>
      <c r="I129" s="7">
        <v>2</v>
      </c>
      <c r="J129" s="7" t="s">
        <v>353</v>
      </c>
      <c r="K129" s="7" t="s">
        <v>882</v>
      </c>
    </row>
    <row r="130" spans="1:11" x14ac:dyDescent="0.25">
      <c r="A130" s="7" t="s">
        <v>400</v>
      </c>
      <c r="B130" s="7">
        <v>127</v>
      </c>
      <c r="C130" s="7">
        <v>12</v>
      </c>
      <c r="D130" s="7" t="s">
        <v>555</v>
      </c>
      <c r="E130" s="7" t="s">
        <v>572</v>
      </c>
      <c r="F130" t="s">
        <v>1599</v>
      </c>
      <c r="G130" s="7">
        <v>1</v>
      </c>
      <c r="H130" s="7">
        <v>2</v>
      </c>
      <c r="I130" s="7">
        <v>2</v>
      </c>
      <c r="J130" s="7" t="s">
        <v>353</v>
      </c>
      <c r="K130" s="7" t="s">
        <v>883</v>
      </c>
    </row>
    <row r="131" spans="1:11" x14ac:dyDescent="0.25">
      <c r="A131" s="7" t="s">
        <v>400</v>
      </c>
      <c r="B131" s="7">
        <v>128</v>
      </c>
      <c r="C131" s="7">
        <v>12</v>
      </c>
      <c r="D131" s="7" t="s">
        <v>555</v>
      </c>
      <c r="E131" s="7" t="s">
        <v>574</v>
      </c>
      <c r="F131" t="s">
        <v>1600</v>
      </c>
      <c r="G131" s="7">
        <v>1</v>
      </c>
      <c r="H131" s="7">
        <v>1</v>
      </c>
      <c r="I131" s="7">
        <v>1</v>
      </c>
      <c r="J131" s="7" t="s">
        <v>353</v>
      </c>
      <c r="K131" s="7" t="s">
        <v>884</v>
      </c>
    </row>
    <row r="132" spans="1:11" x14ac:dyDescent="0.25">
      <c r="A132" s="7" t="s">
        <v>400</v>
      </c>
      <c r="B132" s="7">
        <v>129</v>
      </c>
      <c r="C132" s="7">
        <v>12</v>
      </c>
      <c r="D132" s="7" t="s">
        <v>555</v>
      </c>
      <c r="E132" s="7" t="s">
        <v>557</v>
      </c>
      <c r="F132" t="s">
        <v>1601</v>
      </c>
      <c r="G132" s="7">
        <v>1</v>
      </c>
      <c r="H132" s="7">
        <v>1</v>
      </c>
      <c r="I132" s="7">
        <v>1</v>
      </c>
      <c r="J132" s="7" t="s">
        <v>355</v>
      </c>
      <c r="K132" s="7" t="s">
        <v>885</v>
      </c>
    </row>
    <row r="133" spans="1:11" x14ac:dyDescent="0.25">
      <c r="A133" s="7" t="s">
        <v>400</v>
      </c>
      <c r="B133" s="7">
        <v>130</v>
      </c>
      <c r="C133" s="7">
        <v>12</v>
      </c>
      <c r="D133" s="7" t="s">
        <v>555</v>
      </c>
      <c r="E133" s="7" t="s">
        <v>556</v>
      </c>
      <c r="F133" t="s">
        <v>1602</v>
      </c>
      <c r="G133" s="7">
        <v>1</v>
      </c>
      <c r="H133" s="7">
        <v>1</v>
      </c>
      <c r="I133" s="7">
        <v>1</v>
      </c>
      <c r="J133" s="7" t="s">
        <v>355</v>
      </c>
      <c r="K133" s="7" t="s">
        <v>886</v>
      </c>
    </row>
    <row r="134" spans="1:11" x14ac:dyDescent="0.25">
      <c r="A134" s="7" t="s">
        <v>400</v>
      </c>
      <c r="B134" s="7">
        <v>131</v>
      </c>
      <c r="C134" s="7">
        <v>12</v>
      </c>
      <c r="D134" s="7" t="s">
        <v>555</v>
      </c>
      <c r="E134" s="7" t="s">
        <v>558</v>
      </c>
      <c r="F134" t="s">
        <v>1603</v>
      </c>
      <c r="G134" s="7">
        <v>1</v>
      </c>
      <c r="H134" s="7">
        <v>1</v>
      </c>
      <c r="I134" s="7">
        <v>1</v>
      </c>
      <c r="J134" s="7" t="s">
        <v>887</v>
      </c>
      <c r="K134" s="7" t="s">
        <v>888</v>
      </c>
    </row>
    <row r="135" spans="1:11" x14ac:dyDescent="0.25">
      <c r="A135" s="7" t="s">
        <v>400</v>
      </c>
      <c r="B135" s="7">
        <v>132</v>
      </c>
      <c r="C135" s="7">
        <v>12</v>
      </c>
      <c r="D135" s="7" t="s">
        <v>555</v>
      </c>
      <c r="E135" s="7" t="s">
        <v>559</v>
      </c>
      <c r="F135" t="s">
        <v>1604</v>
      </c>
      <c r="G135" s="7">
        <v>1</v>
      </c>
      <c r="H135" s="7">
        <v>1</v>
      </c>
      <c r="I135" s="7">
        <v>1</v>
      </c>
      <c r="J135" s="7" t="s">
        <v>887</v>
      </c>
      <c r="K135" s="7" t="s">
        <v>889</v>
      </c>
    </row>
    <row r="136" spans="1:11" x14ac:dyDescent="0.25">
      <c r="A136" s="7" t="s">
        <v>400</v>
      </c>
      <c r="B136" s="7">
        <v>133</v>
      </c>
      <c r="C136" s="7">
        <v>12</v>
      </c>
      <c r="D136" s="7" t="s">
        <v>555</v>
      </c>
      <c r="E136" s="7" t="s">
        <v>560</v>
      </c>
      <c r="F136" t="s">
        <v>1605</v>
      </c>
      <c r="G136" s="7">
        <v>1</v>
      </c>
      <c r="H136" s="7">
        <v>1</v>
      </c>
      <c r="I136" s="7">
        <v>1</v>
      </c>
      <c r="J136" s="7" t="s">
        <v>354</v>
      </c>
      <c r="K136" s="7" t="s">
        <v>890</v>
      </c>
    </row>
    <row r="137" spans="1:11" x14ac:dyDescent="0.25">
      <c r="A137" s="7" t="s">
        <v>400</v>
      </c>
      <c r="B137" s="7">
        <v>134</v>
      </c>
      <c r="C137" s="7">
        <v>12</v>
      </c>
      <c r="D137" s="7" t="s">
        <v>555</v>
      </c>
      <c r="E137" s="7" t="s">
        <v>561</v>
      </c>
      <c r="F137" t="s">
        <v>1606</v>
      </c>
      <c r="G137" s="7">
        <v>1</v>
      </c>
      <c r="H137" s="7">
        <v>1</v>
      </c>
      <c r="I137" s="7">
        <v>1</v>
      </c>
      <c r="J137" s="7" t="s">
        <v>354</v>
      </c>
      <c r="K137" s="7" t="s">
        <v>891</v>
      </c>
    </row>
    <row r="138" spans="1:11" x14ac:dyDescent="0.25">
      <c r="A138" s="7" t="s">
        <v>400</v>
      </c>
      <c r="B138" s="7">
        <v>135</v>
      </c>
      <c r="C138" s="7">
        <v>12</v>
      </c>
      <c r="D138" s="7" t="s">
        <v>575</v>
      </c>
      <c r="E138" s="7" t="s">
        <v>578</v>
      </c>
      <c r="F138" t="s">
        <v>1607</v>
      </c>
      <c r="G138" s="7">
        <v>1</v>
      </c>
      <c r="H138" s="7" t="s">
        <v>579</v>
      </c>
      <c r="I138" s="7" t="s">
        <v>579</v>
      </c>
      <c r="J138" s="7" t="s">
        <v>125</v>
      </c>
      <c r="K138" s="7"/>
    </row>
    <row r="139" spans="1:11" x14ac:dyDescent="0.25">
      <c r="A139" s="7" t="s">
        <v>400</v>
      </c>
      <c r="B139" s="7">
        <v>136</v>
      </c>
      <c r="C139" s="7">
        <v>12</v>
      </c>
      <c r="D139" s="7" t="s">
        <v>575</v>
      </c>
      <c r="E139" s="7" t="s">
        <v>580</v>
      </c>
      <c r="F139" t="s">
        <v>1608</v>
      </c>
      <c r="G139" s="7">
        <v>1</v>
      </c>
      <c r="H139" s="7" t="s">
        <v>581</v>
      </c>
      <c r="I139" s="7" t="s">
        <v>581</v>
      </c>
      <c r="J139" s="7" t="s">
        <v>125</v>
      </c>
      <c r="K139" s="7"/>
    </row>
    <row r="140" spans="1:11" x14ac:dyDescent="0.25">
      <c r="A140" s="7" t="s">
        <v>400</v>
      </c>
      <c r="B140" s="7">
        <v>137</v>
      </c>
      <c r="C140" s="7">
        <v>12</v>
      </c>
      <c r="D140" s="7" t="s">
        <v>575</v>
      </c>
      <c r="E140" s="7" t="s">
        <v>576</v>
      </c>
      <c r="F140" t="s">
        <v>1609</v>
      </c>
      <c r="G140" s="7">
        <v>1</v>
      </c>
      <c r="H140" s="7" t="s">
        <v>577</v>
      </c>
      <c r="I140" s="7" t="s">
        <v>577</v>
      </c>
      <c r="J140" s="7" t="s">
        <v>125</v>
      </c>
      <c r="K140" s="7"/>
    </row>
    <row r="141" spans="1:11" ht="60" x14ac:dyDescent="0.25">
      <c r="A141" s="7" t="s">
        <v>400</v>
      </c>
      <c r="B141" s="7">
        <v>139</v>
      </c>
      <c r="C141" s="7">
        <v>12</v>
      </c>
      <c r="D141" s="7"/>
      <c r="E141" s="7"/>
      <c r="F141" t="s">
        <v>1610</v>
      </c>
      <c r="G141" s="7">
        <v>1</v>
      </c>
      <c r="H141" s="7">
        <v>3</v>
      </c>
      <c r="I141" s="7">
        <v>0</v>
      </c>
      <c r="J141" s="7" t="s">
        <v>465</v>
      </c>
      <c r="K141" s="7" t="s">
        <v>892</v>
      </c>
    </row>
    <row r="142" spans="1:11" ht="30" x14ac:dyDescent="0.25">
      <c r="A142" s="7" t="s">
        <v>400</v>
      </c>
      <c r="B142" s="7">
        <v>138</v>
      </c>
      <c r="C142" s="7">
        <v>10</v>
      </c>
      <c r="D142" s="7" t="s">
        <v>64</v>
      </c>
      <c r="E142" s="7" t="s">
        <v>943</v>
      </c>
      <c r="F142" t="s">
        <v>1611</v>
      </c>
      <c r="G142" s="7">
        <v>1</v>
      </c>
      <c r="H142" s="7">
        <v>3</v>
      </c>
      <c r="I142" s="7">
        <v>0</v>
      </c>
      <c r="J142" s="7" t="s">
        <v>940</v>
      </c>
      <c r="K142" s="7" t="s">
        <v>941</v>
      </c>
    </row>
    <row r="143" spans="1:11" ht="45" x14ac:dyDescent="0.25">
      <c r="A143" s="7" t="s">
        <v>400</v>
      </c>
      <c r="B143" s="7">
        <v>140</v>
      </c>
      <c r="C143" s="7">
        <v>12</v>
      </c>
      <c r="D143" s="7" t="s">
        <v>945</v>
      </c>
      <c r="E143" s="7" t="s">
        <v>944</v>
      </c>
      <c r="F143" t="s">
        <v>1612</v>
      </c>
      <c r="G143" s="7">
        <v>1</v>
      </c>
      <c r="H143" s="7">
        <v>2</v>
      </c>
      <c r="I143" s="7">
        <v>0</v>
      </c>
      <c r="J143" s="7" t="s">
        <v>1102</v>
      </c>
      <c r="K143" s="7" t="s">
        <v>1103</v>
      </c>
    </row>
    <row r="144" spans="1:11" x14ac:dyDescent="0.25">
      <c r="A144" s="7" t="s">
        <v>400</v>
      </c>
      <c r="B144" s="7">
        <v>141</v>
      </c>
      <c r="C144" s="7">
        <v>12</v>
      </c>
      <c r="D144" s="7" t="s">
        <v>5</v>
      </c>
      <c r="E144" s="7" t="s">
        <v>1613</v>
      </c>
      <c r="F144" t="s">
        <v>1614</v>
      </c>
      <c r="G144" s="7">
        <v>1</v>
      </c>
      <c r="H144" s="7">
        <v>3</v>
      </c>
      <c r="I144" s="7">
        <v>3</v>
      </c>
      <c r="J144" s="7"/>
      <c r="K144" s="7" t="s">
        <v>1615</v>
      </c>
    </row>
    <row r="145" spans="1:11" ht="30" x14ac:dyDescent="0.25">
      <c r="A145" s="7" t="s">
        <v>400</v>
      </c>
      <c r="B145" s="7">
        <v>142</v>
      </c>
      <c r="C145" s="7">
        <v>12</v>
      </c>
      <c r="D145" s="7" t="s">
        <v>137</v>
      </c>
      <c r="E145" s="7">
        <v>1417975</v>
      </c>
      <c r="F145" t="s">
        <v>1616</v>
      </c>
      <c r="G145" s="7">
        <v>1</v>
      </c>
      <c r="H145" s="7">
        <v>2</v>
      </c>
      <c r="I145" s="7">
        <v>2</v>
      </c>
      <c r="J145" s="7" t="s">
        <v>767</v>
      </c>
      <c r="K145" s="7" t="s">
        <v>1516</v>
      </c>
    </row>
    <row r="146" spans="1:11" x14ac:dyDescent="0.25">
      <c r="A146" s="7" t="s">
        <v>400</v>
      </c>
      <c r="B146" s="7"/>
      <c r="C146" s="7">
        <v>12</v>
      </c>
      <c r="D146" s="7" t="s">
        <v>1617</v>
      </c>
      <c r="E146" s="7" t="s">
        <v>1618</v>
      </c>
      <c r="F146" t="s">
        <v>1619</v>
      </c>
      <c r="G146" s="7">
        <v>1</v>
      </c>
      <c r="H146" s="7">
        <v>1</v>
      </c>
      <c r="I146" s="7">
        <v>1</v>
      </c>
      <c r="J146" s="7"/>
      <c r="K146" s="7" t="s">
        <v>1620</v>
      </c>
    </row>
    <row r="147" spans="1:11" x14ac:dyDescent="0.25">
      <c r="A147" s="7" t="s">
        <v>400</v>
      </c>
      <c r="B147" s="7"/>
      <c r="C147" s="7">
        <v>12</v>
      </c>
      <c r="D147" s="7" t="s">
        <v>1617</v>
      </c>
      <c r="E147" s="7" t="s">
        <v>1621</v>
      </c>
      <c r="F147" t="s">
        <v>1622</v>
      </c>
      <c r="G147" s="7">
        <v>1</v>
      </c>
      <c r="H147" s="7">
        <v>2</v>
      </c>
      <c r="I147" s="7">
        <v>2</v>
      </c>
      <c r="J147" s="7"/>
      <c r="K147" s="7"/>
    </row>
    <row r="148" spans="1:11" x14ac:dyDescent="0.25">
      <c r="A148" s="7" t="s">
        <v>400</v>
      </c>
      <c r="B148" s="7"/>
      <c r="C148" s="7"/>
      <c r="D148" s="7"/>
      <c r="E148" s="7"/>
      <c r="F148"/>
      <c r="G148" s="7"/>
      <c r="H148" s="7"/>
      <c r="I148" s="7"/>
      <c r="J148" s="7"/>
      <c r="K148" s="7"/>
    </row>
    <row r="149" spans="1:11" x14ac:dyDescent="0.25">
      <c r="A149" s="7" t="s">
        <v>400</v>
      </c>
      <c r="B149" s="7">
        <v>142</v>
      </c>
      <c r="C149" s="7"/>
      <c r="D149" s="7"/>
      <c r="E149" s="7"/>
      <c r="F149" t="s">
        <v>1623</v>
      </c>
      <c r="G149" s="7"/>
      <c r="H149" s="7">
        <v>427</v>
      </c>
      <c r="I149" s="7">
        <v>406</v>
      </c>
      <c r="J149" s="7"/>
      <c r="K149" s="7"/>
    </row>
    <row r="150" spans="1:11" x14ac:dyDescent="0.25">
      <c r="A150" s="7" t="s">
        <v>582</v>
      </c>
      <c r="B150" s="7">
        <v>1</v>
      </c>
      <c r="C150" s="7">
        <v>11</v>
      </c>
      <c r="D150" s="7" t="s">
        <v>89</v>
      </c>
      <c r="E150" s="7" t="s">
        <v>90</v>
      </c>
      <c r="F150" t="s">
        <v>1624</v>
      </c>
      <c r="G150" s="7">
        <v>1</v>
      </c>
      <c r="H150" s="7">
        <v>1</v>
      </c>
      <c r="I150" s="7">
        <v>1</v>
      </c>
      <c r="J150" s="7" t="s">
        <v>583</v>
      </c>
      <c r="K150" s="7" t="s">
        <v>584</v>
      </c>
    </row>
    <row r="151" spans="1:11" x14ac:dyDescent="0.25">
      <c r="A151" s="7" t="s">
        <v>582</v>
      </c>
      <c r="B151" s="7">
        <v>2</v>
      </c>
      <c r="C151" s="7">
        <v>11</v>
      </c>
      <c r="D151" s="7" t="s">
        <v>39</v>
      </c>
      <c r="E151" s="7" t="s">
        <v>40</v>
      </c>
      <c r="F151" t="s">
        <v>1625</v>
      </c>
      <c r="G151" s="7">
        <v>1</v>
      </c>
      <c r="H151" s="7">
        <v>2</v>
      </c>
      <c r="I151" s="7">
        <v>2</v>
      </c>
      <c r="J151" s="7" t="s">
        <v>1037</v>
      </c>
      <c r="K151" s="7" t="s">
        <v>585</v>
      </c>
    </row>
    <row r="152" spans="1:11" x14ac:dyDescent="0.25">
      <c r="A152" s="7" t="s">
        <v>582</v>
      </c>
      <c r="B152" s="7">
        <v>3</v>
      </c>
      <c r="C152" s="7">
        <v>12</v>
      </c>
      <c r="D152" s="7" t="s">
        <v>93</v>
      </c>
      <c r="E152" s="7" t="s">
        <v>100</v>
      </c>
      <c r="F152" t="s">
        <v>1626</v>
      </c>
      <c r="G152" s="7">
        <v>1</v>
      </c>
      <c r="H152" s="7">
        <v>2</v>
      </c>
      <c r="I152" s="7">
        <v>2</v>
      </c>
      <c r="J152" s="7" t="s">
        <v>586</v>
      </c>
      <c r="K152" s="7" t="s">
        <v>587</v>
      </c>
    </row>
    <row r="153" spans="1:11" x14ac:dyDescent="0.25">
      <c r="A153" s="7" t="s">
        <v>582</v>
      </c>
      <c r="B153" s="7">
        <v>4</v>
      </c>
      <c r="C153" s="7">
        <v>12</v>
      </c>
      <c r="D153" s="7" t="s">
        <v>93</v>
      </c>
      <c r="E153" s="7" t="s">
        <v>94</v>
      </c>
      <c r="F153" t="s">
        <v>1627</v>
      </c>
      <c r="G153" s="7">
        <v>1</v>
      </c>
      <c r="H153" s="7">
        <v>1</v>
      </c>
      <c r="I153" s="7">
        <v>1</v>
      </c>
      <c r="J153" s="7" t="s">
        <v>588</v>
      </c>
      <c r="K153" s="7" t="s">
        <v>589</v>
      </c>
    </row>
    <row r="154" spans="1:11" x14ac:dyDescent="0.25">
      <c r="A154" s="7" t="s">
        <v>582</v>
      </c>
      <c r="B154" s="7">
        <v>5</v>
      </c>
      <c r="C154" s="7">
        <v>11</v>
      </c>
      <c r="D154" s="7" t="s">
        <v>91</v>
      </c>
      <c r="E154" s="7" t="s">
        <v>92</v>
      </c>
      <c r="F154" t="s">
        <v>1628</v>
      </c>
      <c r="G154" s="7">
        <v>1</v>
      </c>
      <c r="H154" s="7">
        <v>1</v>
      </c>
      <c r="I154" s="7">
        <v>1</v>
      </c>
      <c r="J154" s="7" t="s">
        <v>590</v>
      </c>
      <c r="K154" s="7" t="s">
        <v>591</v>
      </c>
    </row>
    <row r="155" spans="1:11" x14ac:dyDescent="0.25">
      <c r="A155" s="7" t="s">
        <v>582</v>
      </c>
      <c r="B155" s="7">
        <v>6</v>
      </c>
      <c r="C155" s="7">
        <v>11</v>
      </c>
      <c r="D155" s="7" t="s">
        <v>29</v>
      </c>
      <c r="E155" s="7" t="s">
        <v>103</v>
      </c>
      <c r="F155" t="s">
        <v>1629</v>
      </c>
      <c r="G155" s="7">
        <v>1</v>
      </c>
      <c r="H155" s="7">
        <v>2</v>
      </c>
      <c r="I155" s="7">
        <v>2</v>
      </c>
      <c r="J155" s="7" t="s">
        <v>586</v>
      </c>
      <c r="K155" s="7" t="s">
        <v>592</v>
      </c>
    </row>
    <row r="156" spans="1:11" x14ac:dyDescent="0.25">
      <c r="A156" s="7" t="s">
        <v>582</v>
      </c>
      <c r="B156" s="7">
        <v>7</v>
      </c>
      <c r="C156" s="7">
        <v>11</v>
      </c>
      <c r="D156" s="7" t="s">
        <v>29</v>
      </c>
      <c r="E156" s="7" t="s">
        <v>95</v>
      </c>
      <c r="F156" t="s">
        <v>1630</v>
      </c>
      <c r="G156" s="7">
        <v>1</v>
      </c>
      <c r="H156" s="7">
        <v>1</v>
      </c>
      <c r="I156" s="7">
        <v>1</v>
      </c>
      <c r="J156" s="7" t="s">
        <v>588</v>
      </c>
      <c r="K156" s="7" t="s">
        <v>593</v>
      </c>
    </row>
    <row r="157" spans="1:11" x14ac:dyDescent="0.25">
      <c r="A157" s="7" t="s">
        <v>582</v>
      </c>
      <c r="B157" s="7">
        <v>8</v>
      </c>
      <c r="C157" s="7">
        <v>11</v>
      </c>
      <c r="D157" s="7" t="s">
        <v>594</v>
      </c>
      <c r="E157" s="7" t="s">
        <v>595</v>
      </c>
      <c r="F157" t="s">
        <v>1631</v>
      </c>
      <c r="G157" s="7">
        <v>1</v>
      </c>
      <c r="H157" s="7">
        <v>2</v>
      </c>
      <c r="I157" s="7">
        <v>2</v>
      </c>
      <c r="J157" s="7" t="s">
        <v>586</v>
      </c>
      <c r="K157" s="7" t="s">
        <v>596</v>
      </c>
    </row>
    <row r="158" spans="1:11" x14ac:dyDescent="0.25">
      <c r="A158" s="7" t="s">
        <v>582</v>
      </c>
      <c r="B158" s="7">
        <v>9</v>
      </c>
      <c r="C158" s="7">
        <v>11</v>
      </c>
      <c r="D158" s="7" t="s">
        <v>594</v>
      </c>
      <c r="E158" s="7" t="s">
        <v>597</v>
      </c>
      <c r="F158" t="s">
        <v>1632</v>
      </c>
      <c r="G158" s="7">
        <v>1</v>
      </c>
      <c r="H158" s="7">
        <v>1</v>
      </c>
      <c r="I158" s="7">
        <v>1</v>
      </c>
      <c r="J158" s="7" t="s">
        <v>588</v>
      </c>
      <c r="K158" s="7" t="s">
        <v>598</v>
      </c>
    </row>
    <row r="159" spans="1:11" x14ac:dyDescent="0.25">
      <c r="A159" s="7" t="s">
        <v>582</v>
      </c>
      <c r="B159" s="7">
        <v>10</v>
      </c>
      <c r="C159" s="7">
        <v>11</v>
      </c>
      <c r="D159" s="7" t="s">
        <v>594</v>
      </c>
      <c r="E159" s="7" t="s">
        <v>599</v>
      </c>
      <c r="F159" t="s">
        <v>1633</v>
      </c>
      <c r="G159" s="7">
        <v>1</v>
      </c>
      <c r="H159" s="7">
        <v>2</v>
      </c>
      <c r="I159" s="7">
        <v>2</v>
      </c>
      <c r="J159" s="7" t="s">
        <v>586</v>
      </c>
      <c r="K159" s="7" t="s">
        <v>600</v>
      </c>
    </row>
    <row r="160" spans="1:11" x14ac:dyDescent="0.25">
      <c r="A160" s="7" t="s">
        <v>582</v>
      </c>
      <c r="B160" s="7">
        <v>11</v>
      </c>
      <c r="C160" s="7">
        <v>11</v>
      </c>
      <c r="D160" s="7" t="s">
        <v>594</v>
      </c>
      <c r="E160" s="7" t="s">
        <v>601</v>
      </c>
      <c r="F160" t="s">
        <v>1634</v>
      </c>
      <c r="G160" s="7">
        <v>1</v>
      </c>
      <c r="H160" s="7">
        <v>2</v>
      </c>
      <c r="I160" s="7">
        <v>2</v>
      </c>
      <c r="J160" s="7" t="s">
        <v>586</v>
      </c>
      <c r="K160" s="7" t="s">
        <v>602</v>
      </c>
    </row>
    <row r="161" spans="1:11" x14ac:dyDescent="0.25">
      <c r="A161" s="7" t="s">
        <v>582</v>
      </c>
      <c r="B161" s="7">
        <v>12</v>
      </c>
      <c r="C161" s="7">
        <v>11</v>
      </c>
      <c r="D161" s="7" t="s">
        <v>594</v>
      </c>
      <c r="E161" s="7" t="s">
        <v>603</v>
      </c>
      <c r="F161" t="s">
        <v>1635</v>
      </c>
      <c r="G161" s="7">
        <v>1</v>
      </c>
      <c r="H161" s="7">
        <v>2</v>
      </c>
      <c r="I161" s="7">
        <v>2</v>
      </c>
      <c r="J161" s="7" t="s">
        <v>586</v>
      </c>
      <c r="K161" s="7" t="s">
        <v>604</v>
      </c>
    </row>
    <row r="162" spans="1:11" x14ac:dyDescent="0.25">
      <c r="A162" s="7" t="s">
        <v>582</v>
      </c>
      <c r="B162" s="7">
        <v>13</v>
      </c>
      <c r="C162" s="7">
        <v>11</v>
      </c>
      <c r="D162" s="7" t="s">
        <v>594</v>
      </c>
      <c r="E162" s="7" t="s">
        <v>605</v>
      </c>
      <c r="F162" t="s">
        <v>1636</v>
      </c>
      <c r="G162" s="7">
        <v>1</v>
      </c>
      <c r="H162" s="7">
        <v>1</v>
      </c>
      <c r="I162" s="7">
        <v>1</v>
      </c>
      <c r="J162" s="7" t="s">
        <v>588</v>
      </c>
      <c r="K162" s="7" t="s">
        <v>606</v>
      </c>
    </row>
    <row r="163" spans="1:11" x14ac:dyDescent="0.25">
      <c r="A163" s="7" t="s">
        <v>582</v>
      </c>
      <c r="B163" s="7">
        <v>14</v>
      </c>
      <c r="C163" s="7">
        <v>11</v>
      </c>
      <c r="D163" s="7" t="s">
        <v>594</v>
      </c>
      <c r="E163" s="7" t="s">
        <v>607</v>
      </c>
      <c r="F163" t="s">
        <v>1637</v>
      </c>
      <c r="G163" s="7">
        <v>1</v>
      </c>
      <c r="H163" s="7">
        <v>1</v>
      </c>
      <c r="I163" s="7">
        <v>1</v>
      </c>
      <c r="J163" s="7" t="s">
        <v>588</v>
      </c>
      <c r="K163" s="7" t="s">
        <v>608</v>
      </c>
    </row>
    <row r="164" spans="1:11" x14ac:dyDescent="0.25">
      <c r="A164" s="7" t="s">
        <v>582</v>
      </c>
      <c r="B164" s="7">
        <v>15</v>
      </c>
      <c r="C164" s="7">
        <v>11</v>
      </c>
      <c r="D164" s="7" t="s">
        <v>594</v>
      </c>
      <c r="E164" s="7" t="s">
        <v>609</v>
      </c>
      <c r="F164" t="s">
        <v>1638</v>
      </c>
      <c r="G164" s="7">
        <v>1</v>
      </c>
      <c r="H164" s="7">
        <v>1</v>
      </c>
      <c r="I164" s="7">
        <v>1</v>
      </c>
      <c r="J164" s="7" t="s">
        <v>588</v>
      </c>
      <c r="K164" s="7" t="s">
        <v>610</v>
      </c>
    </row>
    <row r="165" spans="1:11" x14ac:dyDescent="0.25">
      <c r="A165" s="7" t="s">
        <v>582</v>
      </c>
      <c r="B165" s="7">
        <v>16</v>
      </c>
      <c r="C165" s="7">
        <v>11</v>
      </c>
      <c r="D165" s="7" t="s">
        <v>594</v>
      </c>
      <c r="E165" s="7" t="s">
        <v>611</v>
      </c>
      <c r="F165" t="s">
        <v>1639</v>
      </c>
      <c r="G165" s="7">
        <v>1</v>
      </c>
      <c r="H165" s="7">
        <v>4</v>
      </c>
      <c r="I165" s="7">
        <v>4</v>
      </c>
      <c r="J165" s="7" t="s">
        <v>586</v>
      </c>
      <c r="K165" s="7" t="s">
        <v>612</v>
      </c>
    </row>
    <row r="166" spans="1:11" x14ac:dyDescent="0.25">
      <c r="A166" s="7" t="s">
        <v>582</v>
      </c>
      <c r="B166" s="7">
        <v>17</v>
      </c>
      <c r="C166" s="7">
        <v>11</v>
      </c>
      <c r="D166" s="7" t="s">
        <v>594</v>
      </c>
      <c r="E166" s="7" t="s">
        <v>613</v>
      </c>
      <c r="F166" t="s">
        <v>1640</v>
      </c>
      <c r="G166" s="7">
        <v>1</v>
      </c>
      <c r="H166" s="7">
        <v>2</v>
      </c>
      <c r="I166" s="7">
        <v>2</v>
      </c>
      <c r="J166" s="7" t="s">
        <v>588</v>
      </c>
      <c r="K166" s="7" t="s">
        <v>614</v>
      </c>
    </row>
    <row r="167" spans="1:11" x14ac:dyDescent="0.25">
      <c r="A167" s="7" t="s">
        <v>582</v>
      </c>
      <c r="B167" s="7">
        <v>18</v>
      </c>
      <c r="C167" s="7">
        <v>11</v>
      </c>
      <c r="D167" s="7" t="s">
        <v>24</v>
      </c>
      <c r="E167" s="7" t="s">
        <v>25</v>
      </c>
      <c r="F167" t="s">
        <v>1641</v>
      </c>
      <c r="G167" s="7">
        <v>1</v>
      </c>
      <c r="H167" s="7">
        <v>1</v>
      </c>
      <c r="I167" s="7">
        <v>1</v>
      </c>
      <c r="J167" s="7" t="s">
        <v>588</v>
      </c>
      <c r="K167" s="7" t="s">
        <v>615</v>
      </c>
    </row>
    <row r="168" spans="1:11" x14ac:dyDescent="0.25">
      <c r="A168" s="7" t="s">
        <v>582</v>
      </c>
      <c r="B168" s="7">
        <v>19</v>
      </c>
      <c r="C168" s="7">
        <v>11</v>
      </c>
      <c r="D168" s="7" t="s">
        <v>24</v>
      </c>
      <c r="E168" s="7" t="s">
        <v>34</v>
      </c>
      <c r="F168" t="s">
        <v>1642</v>
      </c>
      <c r="G168" s="7">
        <v>1</v>
      </c>
      <c r="H168" s="7">
        <v>2</v>
      </c>
      <c r="I168" s="7">
        <v>2</v>
      </c>
      <c r="J168" s="7" t="s">
        <v>616</v>
      </c>
      <c r="K168" s="7" t="s">
        <v>617</v>
      </c>
    </row>
    <row r="169" spans="1:11" x14ac:dyDescent="0.25">
      <c r="A169" s="7" t="s">
        <v>582</v>
      </c>
      <c r="B169" s="7">
        <v>20</v>
      </c>
      <c r="C169" s="7">
        <v>11</v>
      </c>
      <c r="D169" s="7" t="s">
        <v>24</v>
      </c>
      <c r="E169" s="7" t="s">
        <v>50</v>
      </c>
      <c r="F169" t="s">
        <v>1643</v>
      </c>
      <c r="G169" s="7">
        <v>1</v>
      </c>
      <c r="H169" s="7">
        <v>4</v>
      </c>
      <c r="I169" s="7">
        <v>4</v>
      </c>
      <c r="J169" s="7" t="s">
        <v>618</v>
      </c>
      <c r="K169" s="7" t="s">
        <v>619</v>
      </c>
    </row>
    <row r="170" spans="1:11" x14ac:dyDescent="0.25">
      <c r="A170" s="7" t="s">
        <v>582</v>
      </c>
      <c r="B170" s="7">
        <v>21</v>
      </c>
      <c r="C170" s="7">
        <v>11</v>
      </c>
      <c r="D170" s="7" t="s">
        <v>29</v>
      </c>
      <c r="E170" s="7" t="s">
        <v>620</v>
      </c>
      <c r="F170" t="s">
        <v>1644</v>
      </c>
      <c r="G170" s="7">
        <v>1</v>
      </c>
      <c r="H170" s="7">
        <v>4</v>
      </c>
      <c r="I170" s="7">
        <v>4</v>
      </c>
      <c r="J170" s="7" t="s">
        <v>618</v>
      </c>
      <c r="K170" s="7" t="s">
        <v>621</v>
      </c>
    </row>
    <row r="171" spans="1:11" x14ac:dyDescent="0.25">
      <c r="A171" s="7" t="s">
        <v>582</v>
      </c>
      <c r="B171" s="7">
        <v>22</v>
      </c>
      <c r="C171" s="7">
        <v>11</v>
      </c>
      <c r="D171" s="7" t="s">
        <v>29</v>
      </c>
      <c r="E171" s="7" t="s">
        <v>622</v>
      </c>
      <c r="F171" t="s">
        <v>1645</v>
      </c>
      <c r="G171" s="7">
        <v>1</v>
      </c>
      <c r="H171" s="7">
        <v>4</v>
      </c>
      <c r="I171" s="7">
        <v>4</v>
      </c>
      <c r="J171" s="7" t="s">
        <v>618</v>
      </c>
      <c r="K171" s="7" t="s">
        <v>623</v>
      </c>
    </row>
    <row r="172" spans="1:11" ht="30" x14ac:dyDescent="0.25">
      <c r="A172" s="7" t="s">
        <v>582</v>
      </c>
      <c r="B172" s="7">
        <v>23</v>
      </c>
      <c r="C172" s="7">
        <v>11</v>
      </c>
      <c r="D172" s="7" t="s">
        <v>29</v>
      </c>
      <c r="E172" s="7" t="s">
        <v>30</v>
      </c>
      <c r="F172" t="s">
        <v>1646</v>
      </c>
      <c r="G172" s="7">
        <v>1</v>
      </c>
      <c r="H172" s="7">
        <v>2</v>
      </c>
      <c r="I172" s="7">
        <v>2</v>
      </c>
      <c r="J172" s="7" t="s">
        <v>624</v>
      </c>
      <c r="K172" s="7" t="s">
        <v>625</v>
      </c>
    </row>
    <row r="173" spans="1:11" ht="30" x14ac:dyDescent="0.25">
      <c r="A173" s="7" t="s">
        <v>582</v>
      </c>
      <c r="B173" s="7">
        <v>24</v>
      </c>
      <c r="C173" s="7">
        <v>11</v>
      </c>
      <c r="D173" s="7" t="s">
        <v>29</v>
      </c>
      <c r="E173" s="7" t="s">
        <v>97</v>
      </c>
      <c r="F173" t="s">
        <v>1647</v>
      </c>
      <c r="G173" s="7">
        <v>1</v>
      </c>
      <c r="H173" s="7">
        <v>2</v>
      </c>
      <c r="I173" s="7">
        <v>2</v>
      </c>
      <c r="J173" s="7" t="s">
        <v>616</v>
      </c>
      <c r="K173" s="7" t="s">
        <v>626</v>
      </c>
    </row>
    <row r="174" spans="1:11" x14ac:dyDescent="0.25">
      <c r="A174" s="7" t="s">
        <v>582</v>
      </c>
      <c r="B174" s="7">
        <v>25</v>
      </c>
      <c r="C174" s="7">
        <v>11</v>
      </c>
      <c r="D174" s="7" t="s">
        <v>27</v>
      </c>
      <c r="E174" s="7" t="s">
        <v>627</v>
      </c>
      <c r="F174" t="s">
        <v>1648</v>
      </c>
      <c r="G174" s="7">
        <v>1</v>
      </c>
      <c r="H174" s="7">
        <v>2</v>
      </c>
      <c r="I174" s="7">
        <v>2</v>
      </c>
      <c r="J174" s="7" t="s">
        <v>628</v>
      </c>
      <c r="K174" s="7" t="s">
        <v>629</v>
      </c>
    </row>
    <row r="175" spans="1:11" x14ac:dyDescent="0.25">
      <c r="A175" s="7" t="s">
        <v>582</v>
      </c>
      <c r="B175" s="7">
        <v>26</v>
      </c>
      <c r="C175" s="7">
        <v>11</v>
      </c>
      <c r="D175" s="7" t="s">
        <v>27</v>
      </c>
      <c r="E175" s="7" t="s">
        <v>630</v>
      </c>
      <c r="F175" t="s">
        <v>1649</v>
      </c>
      <c r="G175" s="7">
        <v>1</v>
      </c>
      <c r="H175" s="7">
        <v>2</v>
      </c>
      <c r="I175" s="7">
        <v>2</v>
      </c>
      <c r="J175" s="7" t="s">
        <v>628</v>
      </c>
      <c r="K175" s="7" t="s">
        <v>631</v>
      </c>
    </row>
    <row r="176" spans="1:11" x14ac:dyDescent="0.25">
      <c r="A176" s="7" t="s">
        <v>582</v>
      </c>
      <c r="B176" s="7">
        <v>27</v>
      </c>
      <c r="C176" s="7">
        <v>11</v>
      </c>
      <c r="D176" s="7" t="s">
        <v>27</v>
      </c>
      <c r="E176" s="7" t="s">
        <v>632</v>
      </c>
      <c r="F176" t="s">
        <v>1650</v>
      </c>
      <c r="G176" s="7">
        <v>1</v>
      </c>
      <c r="H176" s="7">
        <v>2</v>
      </c>
      <c r="I176" s="7">
        <v>2</v>
      </c>
      <c r="J176" s="7" t="s">
        <v>628</v>
      </c>
      <c r="K176" s="7" t="s">
        <v>633</v>
      </c>
    </row>
    <row r="177" spans="1:11" x14ac:dyDescent="0.25">
      <c r="A177" s="7" t="s">
        <v>582</v>
      </c>
      <c r="B177" s="7">
        <v>28</v>
      </c>
      <c r="C177" s="7">
        <v>11</v>
      </c>
      <c r="D177" s="7" t="s">
        <v>27</v>
      </c>
      <c r="E177" s="7" t="s">
        <v>634</v>
      </c>
      <c r="F177" t="s">
        <v>1651</v>
      </c>
      <c r="G177" s="7">
        <v>1</v>
      </c>
      <c r="H177" s="7">
        <v>1</v>
      </c>
      <c r="I177" s="7">
        <v>1</v>
      </c>
      <c r="J177" s="7" t="s">
        <v>635</v>
      </c>
      <c r="K177" s="7" t="s">
        <v>636</v>
      </c>
    </row>
    <row r="178" spans="1:11" x14ac:dyDescent="0.25">
      <c r="A178" s="7" t="s">
        <v>582</v>
      </c>
      <c r="B178" s="7">
        <v>29</v>
      </c>
      <c r="C178" s="7">
        <v>11</v>
      </c>
      <c r="D178" s="7" t="s">
        <v>27</v>
      </c>
      <c r="E178" s="7" t="s">
        <v>637</v>
      </c>
      <c r="F178" t="s">
        <v>1652</v>
      </c>
      <c r="G178" s="7">
        <v>1</v>
      </c>
      <c r="H178" s="7">
        <v>1</v>
      </c>
      <c r="I178" s="7">
        <v>1</v>
      </c>
      <c r="J178" s="7" t="s">
        <v>635</v>
      </c>
      <c r="K178" s="7" t="s">
        <v>638</v>
      </c>
    </row>
    <row r="179" spans="1:11" x14ac:dyDescent="0.25">
      <c r="A179" s="7" t="s">
        <v>582</v>
      </c>
      <c r="B179" s="7">
        <v>30</v>
      </c>
      <c r="C179" s="7">
        <v>11</v>
      </c>
      <c r="D179" s="7" t="s">
        <v>27</v>
      </c>
      <c r="E179" s="7" t="s">
        <v>639</v>
      </c>
      <c r="F179" t="s">
        <v>1653</v>
      </c>
      <c r="G179" s="7">
        <v>1</v>
      </c>
      <c r="H179" s="7">
        <v>1</v>
      </c>
      <c r="I179" s="7">
        <v>1</v>
      </c>
      <c r="J179" s="7" t="s">
        <v>635</v>
      </c>
      <c r="K179" s="7" t="s">
        <v>640</v>
      </c>
    </row>
    <row r="180" spans="1:11" x14ac:dyDescent="0.25">
      <c r="A180" s="7" t="s">
        <v>582</v>
      </c>
      <c r="B180" s="7">
        <v>31</v>
      </c>
      <c r="C180" s="7">
        <v>11</v>
      </c>
      <c r="D180" s="7" t="s">
        <v>27</v>
      </c>
      <c r="E180" s="7" t="s">
        <v>28</v>
      </c>
      <c r="F180" t="s">
        <v>1654</v>
      </c>
      <c r="G180" s="7">
        <v>1</v>
      </c>
      <c r="H180" s="7">
        <v>3</v>
      </c>
      <c r="I180" s="7">
        <v>3</v>
      </c>
      <c r="J180" s="7" t="s">
        <v>641</v>
      </c>
      <c r="K180" s="7" t="s">
        <v>642</v>
      </c>
    </row>
    <row r="181" spans="1:11" x14ac:dyDescent="0.25">
      <c r="A181" s="7" t="s">
        <v>582</v>
      </c>
      <c r="B181" s="7">
        <v>32</v>
      </c>
      <c r="C181" s="7">
        <v>11</v>
      </c>
      <c r="D181" s="7" t="s">
        <v>96</v>
      </c>
      <c r="E181" s="7" t="s">
        <v>101</v>
      </c>
      <c r="F181" t="s">
        <v>1655</v>
      </c>
      <c r="G181" s="7">
        <v>1</v>
      </c>
      <c r="H181" s="7">
        <v>2</v>
      </c>
      <c r="I181" s="7">
        <v>2</v>
      </c>
      <c r="J181" s="7" t="s">
        <v>624</v>
      </c>
      <c r="K181" s="7" t="s">
        <v>643</v>
      </c>
    </row>
    <row r="182" spans="1:11" x14ac:dyDescent="0.25">
      <c r="A182" s="7" t="s">
        <v>582</v>
      </c>
      <c r="B182" s="7">
        <v>33</v>
      </c>
      <c r="C182" s="7">
        <v>11</v>
      </c>
      <c r="D182" s="7" t="s">
        <v>96</v>
      </c>
      <c r="E182" s="7" t="s">
        <v>644</v>
      </c>
      <c r="F182" t="s">
        <v>1656</v>
      </c>
      <c r="G182" s="7">
        <v>1</v>
      </c>
      <c r="H182" s="7">
        <v>2</v>
      </c>
      <c r="I182" s="7">
        <v>2</v>
      </c>
      <c r="J182" s="7" t="s">
        <v>624</v>
      </c>
      <c r="K182" s="7"/>
    </row>
    <row r="183" spans="1:11" x14ac:dyDescent="0.25">
      <c r="A183" s="7" t="s">
        <v>582</v>
      </c>
      <c r="B183" s="7">
        <v>34</v>
      </c>
      <c r="C183" s="7">
        <v>11</v>
      </c>
      <c r="D183" s="7" t="s">
        <v>96</v>
      </c>
      <c r="E183" s="7" t="s">
        <v>645</v>
      </c>
      <c r="F183" t="s">
        <v>1657</v>
      </c>
      <c r="G183" s="7">
        <v>1</v>
      </c>
      <c r="H183" s="7">
        <v>2</v>
      </c>
      <c r="I183" s="7">
        <v>2</v>
      </c>
      <c r="J183" s="7" t="s">
        <v>624</v>
      </c>
      <c r="K183" s="7"/>
    </row>
    <row r="184" spans="1:11" x14ac:dyDescent="0.25">
      <c r="A184" s="7" t="s">
        <v>582</v>
      </c>
      <c r="B184" s="7">
        <v>35</v>
      </c>
      <c r="C184" s="7">
        <v>11</v>
      </c>
      <c r="D184" s="7" t="s">
        <v>96</v>
      </c>
      <c r="E184" s="7" t="s">
        <v>646</v>
      </c>
      <c r="F184" t="s">
        <v>1658</v>
      </c>
      <c r="G184" s="7">
        <v>1</v>
      </c>
      <c r="H184" s="7">
        <v>2</v>
      </c>
      <c r="I184" s="7">
        <v>2</v>
      </c>
      <c r="J184" s="7" t="s">
        <v>624</v>
      </c>
      <c r="K184" s="7"/>
    </row>
    <row r="185" spans="1:11" x14ac:dyDescent="0.25">
      <c r="A185" s="7" t="s">
        <v>582</v>
      </c>
      <c r="B185" s="7">
        <v>36</v>
      </c>
      <c r="C185" s="7">
        <v>11</v>
      </c>
      <c r="D185" s="7" t="s">
        <v>96</v>
      </c>
      <c r="E185" s="7" t="s">
        <v>647</v>
      </c>
      <c r="F185" t="s">
        <v>1659</v>
      </c>
      <c r="G185" s="7">
        <v>1</v>
      </c>
      <c r="H185" s="7">
        <v>1</v>
      </c>
      <c r="I185" s="7">
        <v>1</v>
      </c>
      <c r="J185" s="7" t="s">
        <v>624</v>
      </c>
      <c r="K185" s="7" t="s">
        <v>648</v>
      </c>
    </row>
    <row r="186" spans="1:11" x14ac:dyDescent="0.25">
      <c r="A186" s="7" t="s">
        <v>582</v>
      </c>
      <c r="B186" s="7">
        <v>37</v>
      </c>
      <c r="C186" s="7">
        <v>11</v>
      </c>
      <c r="D186" s="7" t="s">
        <v>96</v>
      </c>
      <c r="E186" s="7" t="s">
        <v>102</v>
      </c>
      <c r="F186" t="s">
        <v>1660</v>
      </c>
      <c r="G186" s="7">
        <v>1</v>
      </c>
      <c r="H186" s="7">
        <v>6</v>
      </c>
      <c r="I186" s="7">
        <v>6</v>
      </c>
      <c r="J186" s="7" t="s">
        <v>616</v>
      </c>
      <c r="K186" s="7" t="s">
        <v>649</v>
      </c>
    </row>
    <row r="187" spans="1:11" x14ac:dyDescent="0.25">
      <c r="A187" s="7" t="s">
        <v>582</v>
      </c>
      <c r="B187" s="7">
        <v>38</v>
      </c>
      <c r="C187" s="7">
        <v>11</v>
      </c>
      <c r="D187" s="7" t="s">
        <v>45</v>
      </c>
      <c r="E187" s="7" t="s">
        <v>46</v>
      </c>
      <c r="F187" t="s">
        <v>1661</v>
      </c>
      <c r="G187" s="7">
        <v>1</v>
      </c>
      <c r="H187" s="7">
        <v>2</v>
      </c>
      <c r="I187" s="7">
        <v>2</v>
      </c>
      <c r="J187" s="7" t="s">
        <v>624</v>
      </c>
      <c r="K187" s="7" t="s">
        <v>650</v>
      </c>
    </row>
    <row r="188" spans="1:11" x14ac:dyDescent="0.25">
      <c r="A188" s="7" t="s">
        <v>582</v>
      </c>
      <c r="B188" s="7">
        <v>39</v>
      </c>
      <c r="C188" s="7">
        <v>12</v>
      </c>
      <c r="D188" s="7" t="s">
        <v>5</v>
      </c>
      <c r="E188" s="7" t="s">
        <v>19</v>
      </c>
      <c r="F188" t="s">
        <v>1487</v>
      </c>
      <c r="G188" s="7">
        <v>1</v>
      </c>
      <c r="H188" s="7">
        <v>1</v>
      </c>
      <c r="I188" s="7">
        <v>0</v>
      </c>
      <c r="J188" s="7" t="s">
        <v>583</v>
      </c>
      <c r="K188" s="7" t="s">
        <v>651</v>
      </c>
    </row>
    <row r="189" spans="1:11" x14ac:dyDescent="0.25">
      <c r="A189" s="7" t="s">
        <v>582</v>
      </c>
      <c r="B189" s="7">
        <v>40</v>
      </c>
      <c r="C189" s="7">
        <v>12</v>
      </c>
      <c r="D189" s="7" t="s">
        <v>5</v>
      </c>
      <c r="E189" s="7" t="s">
        <v>429</v>
      </c>
      <c r="F189" t="s">
        <v>1483</v>
      </c>
      <c r="G189" s="7">
        <v>1</v>
      </c>
      <c r="H189" s="7">
        <v>1</v>
      </c>
      <c r="I189" s="7">
        <v>0</v>
      </c>
      <c r="J189" s="7" t="s">
        <v>583</v>
      </c>
      <c r="K189" s="7" t="s">
        <v>652</v>
      </c>
    </row>
    <row r="190" spans="1:11" x14ac:dyDescent="0.25">
      <c r="A190" s="7" t="s">
        <v>582</v>
      </c>
      <c r="B190" s="7">
        <v>41</v>
      </c>
      <c r="C190" s="7">
        <v>12</v>
      </c>
      <c r="D190" s="7" t="s">
        <v>5</v>
      </c>
      <c r="E190" s="7" t="s">
        <v>21</v>
      </c>
      <c r="F190" t="s">
        <v>1492</v>
      </c>
      <c r="G190" s="7">
        <v>1</v>
      </c>
      <c r="H190" s="7">
        <v>1</v>
      </c>
      <c r="I190" s="7">
        <v>0</v>
      </c>
      <c r="J190" s="7" t="s">
        <v>583</v>
      </c>
      <c r="K190" s="7" t="s">
        <v>653</v>
      </c>
    </row>
    <row r="191" spans="1:11" x14ac:dyDescent="0.25">
      <c r="A191" s="7" t="s">
        <v>582</v>
      </c>
      <c r="B191" s="7">
        <v>42</v>
      </c>
      <c r="C191" s="7">
        <v>12</v>
      </c>
      <c r="D191" s="7" t="s">
        <v>5</v>
      </c>
      <c r="E191" s="7" t="s">
        <v>31</v>
      </c>
      <c r="F191" t="s">
        <v>1662</v>
      </c>
      <c r="G191" s="7">
        <v>1</v>
      </c>
      <c r="H191" s="7">
        <v>6</v>
      </c>
      <c r="I191" s="7">
        <v>0</v>
      </c>
      <c r="J191" s="7" t="s">
        <v>616</v>
      </c>
      <c r="K191" s="7" t="s">
        <v>654</v>
      </c>
    </row>
    <row r="192" spans="1:11" x14ac:dyDescent="0.25">
      <c r="A192" s="7" t="s">
        <v>582</v>
      </c>
      <c r="B192" s="7">
        <v>43</v>
      </c>
      <c r="C192" s="7">
        <v>12</v>
      </c>
      <c r="D192" s="7" t="s">
        <v>5</v>
      </c>
      <c r="E192" s="7" t="s">
        <v>22</v>
      </c>
      <c r="F192" t="s">
        <v>1491</v>
      </c>
      <c r="G192" s="7">
        <v>1</v>
      </c>
      <c r="H192" s="7">
        <v>7</v>
      </c>
      <c r="I192" s="7">
        <v>0</v>
      </c>
      <c r="J192" s="7" t="s">
        <v>655</v>
      </c>
      <c r="K192" s="7" t="s">
        <v>656</v>
      </c>
    </row>
    <row r="193" spans="1:11" x14ac:dyDescent="0.25">
      <c r="A193" s="7" t="s">
        <v>582</v>
      </c>
      <c r="B193" s="7">
        <v>44</v>
      </c>
      <c r="C193" s="7">
        <v>41</v>
      </c>
      <c r="D193" s="7" t="s">
        <v>98</v>
      </c>
      <c r="E193" s="7" t="s">
        <v>657</v>
      </c>
      <c r="F193" t="s">
        <v>1663</v>
      </c>
      <c r="G193" s="7">
        <v>1</v>
      </c>
      <c r="H193" s="7">
        <v>2</v>
      </c>
      <c r="I193" s="7">
        <v>0</v>
      </c>
      <c r="J193" s="7"/>
      <c r="K193" s="7" t="s">
        <v>658</v>
      </c>
    </row>
    <row r="194" spans="1:11" x14ac:dyDescent="0.25">
      <c r="A194" s="7" t="s">
        <v>582</v>
      </c>
      <c r="B194" s="7">
        <v>45</v>
      </c>
      <c r="C194" s="7">
        <v>11</v>
      </c>
      <c r="D194" s="7" t="s">
        <v>99</v>
      </c>
      <c r="E194" s="7" t="s">
        <v>659</v>
      </c>
      <c r="F194" t="s">
        <v>1664</v>
      </c>
      <c r="G194" s="7">
        <v>1</v>
      </c>
      <c r="H194" s="7">
        <v>2</v>
      </c>
      <c r="I194" s="7">
        <v>2</v>
      </c>
      <c r="J194" s="7"/>
      <c r="K194" s="7" t="s">
        <v>660</v>
      </c>
    </row>
    <row r="195" spans="1:11" x14ac:dyDescent="0.25">
      <c r="A195" s="7" t="s">
        <v>582</v>
      </c>
      <c r="B195" s="7">
        <v>46</v>
      </c>
      <c r="C195" s="7">
        <v>11</v>
      </c>
      <c r="D195" s="7" t="s">
        <v>99</v>
      </c>
      <c r="E195" s="7" t="s">
        <v>661</v>
      </c>
      <c r="F195"/>
      <c r="G195" s="7">
        <v>1</v>
      </c>
      <c r="H195" s="7">
        <v>2</v>
      </c>
      <c r="I195" s="7">
        <v>2</v>
      </c>
      <c r="J195" s="7"/>
      <c r="K195" s="7" t="s">
        <v>660</v>
      </c>
    </row>
    <row r="196" spans="1:11" x14ac:dyDescent="0.25">
      <c r="A196" s="7" t="s">
        <v>582</v>
      </c>
      <c r="B196" s="7">
        <v>47</v>
      </c>
      <c r="C196" s="7">
        <v>11</v>
      </c>
      <c r="D196" s="7"/>
      <c r="E196" s="7" t="s">
        <v>662</v>
      </c>
      <c r="F196" t="s">
        <v>1665</v>
      </c>
      <c r="G196" s="7">
        <v>1</v>
      </c>
      <c r="H196" s="7">
        <v>300</v>
      </c>
      <c r="I196" s="7">
        <v>300</v>
      </c>
      <c r="J196" s="7"/>
      <c r="K196" s="7" t="s">
        <v>663</v>
      </c>
    </row>
    <row r="197" spans="1:11" x14ac:dyDescent="0.25">
      <c r="A197" s="7" t="s">
        <v>582</v>
      </c>
      <c r="B197" s="7">
        <v>48</v>
      </c>
      <c r="C197" s="7">
        <v>11</v>
      </c>
      <c r="D197" s="7"/>
      <c r="E197" s="7"/>
      <c r="F197"/>
      <c r="G197" s="7">
        <v>1</v>
      </c>
      <c r="H197" s="7"/>
      <c r="I197" s="7"/>
      <c r="J197" s="7"/>
      <c r="K197" s="7"/>
    </row>
    <row r="198" spans="1:11" x14ac:dyDescent="0.25">
      <c r="A198" s="7" t="s">
        <v>582</v>
      </c>
      <c r="B198" s="7">
        <v>49</v>
      </c>
      <c r="C198" s="7">
        <v>11</v>
      </c>
      <c r="D198" s="7"/>
      <c r="E198" s="7"/>
      <c r="F198"/>
      <c r="G198" s="7">
        <v>1</v>
      </c>
      <c r="H198" s="7"/>
      <c r="I198" s="7"/>
      <c r="J198" s="7"/>
      <c r="K198" s="7"/>
    </row>
    <row r="199" spans="1:11" x14ac:dyDescent="0.25">
      <c r="A199" s="7" t="s">
        <v>582</v>
      </c>
      <c r="B199" s="7">
        <v>50</v>
      </c>
      <c r="C199" s="7">
        <v>11</v>
      </c>
      <c r="D199" s="7"/>
      <c r="E199" s="7"/>
      <c r="F199"/>
      <c r="G199" s="7">
        <v>1</v>
      </c>
      <c r="H199" s="7"/>
      <c r="I199" s="7"/>
      <c r="J199" s="7"/>
      <c r="K199" s="7"/>
    </row>
    <row r="200" spans="1:11" x14ac:dyDescent="0.25">
      <c r="A200" s="7" t="s">
        <v>582</v>
      </c>
      <c r="B200" s="7">
        <v>50</v>
      </c>
      <c r="C200" s="7"/>
      <c r="D200" s="7"/>
      <c r="E200" s="7"/>
      <c r="F200" t="s">
        <v>1623</v>
      </c>
      <c r="G200" s="7"/>
      <c r="H200" s="7">
        <v>398</v>
      </c>
      <c r="I200" s="7">
        <v>380</v>
      </c>
      <c r="J200" s="7"/>
      <c r="K200" s="7"/>
    </row>
    <row r="201" spans="1:11" x14ac:dyDescent="0.25">
      <c r="A201" s="7" t="s">
        <v>664</v>
      </c>
      <c r="B201" s="7">
        <v>1</v>
      </c>
      <c r="C201" s="7">
        <v>10</v>
      </c>
      <c r="D201" s="7" t="s">
        <v>64</v>
      </c>
      <c r="E201" s="7" t="s">
        <v>665</v>
      </c>
      <c r="F201" t="s">
        <v>1666</v>
      </c>
      <c r="G201" s="7">
        <v>1</v>
      </c>
      <c r="H201" s="7">
        <v>1</v>
      </c>
      <c r="I201" s="7">
        <v>1</v>
      </c>
      <c r="J201" s="7" t="s">
        <v>666</v>
      </c>
      <c r="K201" s="7"/>
    </row>
    <row r="202" spans="1:11" x14ac:dyDescent="0.25">
      <c r="A202" s="7" t="s">
        <v>664</v>
      </c>
      <c r="B202" s="7">
        <v>2</v>
      </c>
      <c r="C202" s="7">
        <v>10</v>
      </c>
      <c r="D202" s="7" t="s">
        <v>667</v>
      </c>
      <c r="E202" s="7" t="s">
        <v>668</v>
      </c>
      <c r="F202" t="s">
        <v>1667</v>
      </c>
      <c r="G202" s="7">
        <v>1</v>
      </c>
      <c r="H202" s="7">
        <v>1</v>
      </c>
      <c r="I202" s="7">
        <v>1</v>
      </c>
      <c r="J202" s="7" t="s">
        <v>666</v>
      </c>
      <c r="K202" s="7" t="s">
        <v>669</v>
      </c>
    </row>
    <row r="203" spans="1:11" x14ac:dyDescent="0.25">
      <c r="A203" s="7" t="s">
        <v>664</v>
      </c>
      <c r="B203" s="7">
        <v>3</v>
      </c>
      <c r="C203" s="7">
        <v>10</v>
      </c>
      <c r="D203" s="7" t="s">
        <v>64</v>
      </c>
      <c r="E203" s="7" t="s">
        <v>670</v>
      </c>
      <c r="F203" t="s">
        <v>1668</v>
      </c>
      <c r="G203" s="7">
        <v>1</v>
      </c>
      <c r="H203" s="7">
        <v>2</v>
      </c>
      <c r="I203" s="7">
        <v>2</v>
      </c>
      <c r="J203" s="7" t="s">
        <v>671</v>
      </c>
      <c r="K203" s="7"/>
    </row>
    <row r="204" spans="1:11" x14ac:dyDescent="0.25">
      <c r="A204" s="7" t="s">
        <v>664</v>
      </c>
      <c r="B204" s="7">
        <v>4</v>
      </c>
      <c r="C204" s="7">
        <v>10</v>
      </c>
      <c r="D204" s="7" t="s">
        <v>64</v>
      </c>
      <c r="E204" s="7" t="s">
        <v>672</v>
      </c>
      <c r="F204" t="s">
        <v>1669</v>
      </c>
      <c r="G204" s="7">
        <v>1</v>
      </c>
      <c r="H204" s="7">
        <v>4</v>
      </c>
      <c r="I204" s="7">
        <v>4</v>
      </c>
      <c r="J204" s="7" t="s">
        <v>671</v>
      </c>
      <c r="K204" s="7" t="s">
        <v>673</v>
      </c>
    </row>
    <row r="205" spans="1:11" x14ac:dyDescent="0.25">
      <c r="A205" s="7" t="s">
        <v>664</v>
      </c>
      <c r="B205" s="7">
        <v>5</v>
      </c>
      <c r="C205" s="7">
        <v>10</v>
      </c>
      <c r="D205" s="7" t="s">
        <v>64</v>
      </c>
      <c r="E205" s="7" t="s">
        <v>674</v>
      </c>
      <c r="F205" t="s">
        <v>1670</v>
      </c>
      <c r="G205" s="7">
        <v>1</v>
      </c>
      <c r="H205" s="7">
        <v>6</v>
      </c>
      <c r="I205" s="7">
        <v>6</v>
      </c>
      <c r="J205" s="7" t="s">
        <v>671</v>
      </c>
      <c r="K205" s="7" t="s">
        <v>675</v>
      </c>
    </row>
    <row r="206" spans="1:11" x14ac:dyDescent="0.25">
      <c r="A206" s="7" t="s">
        <v>664</v>
      </c>
      <c r="B206" s="7">
        <v>6</v>
      </c>
      <c r="C206" s="7">
        <v>10</v>
      </c>
      <c r="D206" s="7" t="s">
        <v>64</v>
      </c>
      <c r="E206" s="7" t="s">
        <v>676</v>
      </c>
      <c r="F206" t="s">
        <v>1671</v>
      </c>
      <c r="G206" s="7">
        <v>1</v>
      </c>
      <c r="H206" s="7">
        <v>4</v>
      </c>
      <c r="I206" s="7">
        <v>4</v>
      </c>
      <c r="J206" s="7" t="s">
        <v>671</v>
      </c>
      <c r="K206" s="7" t="s">
        <v>677</v>
      </c>
    </row>
    <row r="207" spans="1:11" x14ac:dyDescent="0.25">
      <c r="A207" s="7" t="s">
        <v>664</v>
      </c>
      <c r="B207" s="7">
        <v>7</v>
      </c>
      <c r="C207" s="7">
        <v>10</v>
      </c>
      <c r="D207" s="7" t="s">
        <v>64</v>
      </c>
      <c r="E207" s="7" t="s">
        <v>678</v>
      </c>
      <c r="F207" t="s">
        <v>1672</v>
      </c>
      <c r="G207" s="7">
        <v>1</v>
      </c>
      <c r="H207" s="7">
        <v>2</v>
      </c>
      <c r="I207" s="7">
        <v>2</v>
      </c>
      <c r="J207" s="7" t="s">
        <v>671</v>
      </c>
      <c r="K207" s="7" t="s">
        <v>679</v>
      </c>
    </row>
    <row r="208" spans="1:11" x14ac:dyDescent="0.25">
      <c r="A208" s="7" t="s">
        <v>664</v>
      </c>
      <c r="B208" s="7">
        <v>8</v>
      </c>
      <c r="C208" s="7">
        <v>10</v>
      </c>
      <c r="D208" s="7" t="s">
        <v>64</v>
      </c>
      <c r="E208" s="7" t="s">
        <v>680</v>
      </c>
      <c r="F208" t="s">
        <v>1673</v>
      </c>
      <c r="G208" s="7">
        <v>1</v>
      </c>
      <c r="H208" s="7">
        <v>2</v>
      </c>
      <c r="I208" s="7">
        <v>2</v>
      </c>
      <c r="J208" s="7" t="s">
        <v>671</v>
      </c>
      <c r="K208" s="7" t="s">
        <v>681</v>
      </c>
    </row>
    <row r="209" spans="1:11" x14ac:dyDescent="0.25">
      <c r="A209" s="7" t="s">
        <v>664</v>
      </c>
      <c r="B209" s="7">
        <v>9</v>
      </c>
      <c r="C209" s="7">
        <v>10</v>
      </c>
      <c r="D209" s="7" t="s">
        <v>64</v>
      </c>
      <c r="E209" s="7" t="s">
        <v>682</v>
      </c>
      <c r="F209" t="s">
        <v>1674</v>
      </c>
      <c r="G209" s="7">
        <v>1</v>
      </c>
      <c r="H209" s="7">
        <v>7</v>
      </c>
      <c r="I209" s="7">
        <v>7</v>
      </c>
      <c r="J209" s="7" t="s">
        <v>683</v>
      </c>
      <c r="K209" s="7" t="s">
        <v>684</v>
      </c>
    </row>
    <row r="210" spans="1:11" x14ac:dyDescent="0.25">
      <c r="A210" s="7" t="s">
        <v>664</v>
      </c>
      <c r="B210" s="7">
        <v>10</v>
      </c>
      <c r="C210" s="7">
        <v>10</v>
      </c>
      <c r="D210" s="7" t="s">
        <v>64</v>
      </c>
      <c r="E210" s="7" t="s">
        <v>685</v>
      </c>
      <c r="F210" t="s">
        <v>1675</v>
      </c>
      <c r="G210" s="7">
        <v>1</v>
      </c>
      <c r="H210" s="7">
        <v>4</v>
      </c>
      <c r="I210" s="7">
        <v>4</v>
      </c>
      <c r="J210" s="7" t="s">
        <v>686</v>
      </c>
      <c r="K210" s="7" t="s">
        <v>687</v>
      </c>
    </row>
    <row r="211" spans="1:11" x14ac:dyDescent="0.25">
      <c r="A211" s="7" t="s">
        <v>664</v>
      </c>
      <c r="B211" s="7">
        <v>11</v>
      </c>
      <c r="C211" s="7">
        <v>10</v>
      </c>
      <c r="D211" s="7" t="s">
        <v>64</v>
      </c>
      <c r="E211" s="7" t="s">
        <v>688</v>
      </c>
      <c r="F211" t="s">
        <v>1676</v>
      </c>
      <c r="G211" s="7">
        <v>1</v>
      </c>
      <c r="H211" s="7">
        <v>8</v>
      </c>
      <c r="I211" s="7">
        <v>8</v>
      </c>
      <c r="J211" s="7" t="s">
        <v>686</v>
      </c>
      <c r="K211" s="7" t="s">
        <v>681</v>
      </c>
    </row>
    <row r="212" spans="1:11" x14ac:dyDescent="0.25">
      <c r="A212" s="7" t="s">
        <v>664</v>
      </c>
      <c r="B212" s="7">
        <v>12</v>
      </c>
      <c r="C212" s="7">
        <v>10</v>
      </c>
      <c r="D212" s="7" t="s">
        <v>64</v>
      </c>
      <c r="E212" s="7" t="s">
        <v>689</v>
      </c>
      <c r="F212" t="s">
        <v>1677</v>
      </c>
      <c r="G212" s="7">
        <v>1</v>
      </c>
      <c r="H212" s="7">
        <v>4</v>
      </c>
      <c r="I212" s="7">
        <v>4</v>
      </c>
      <c r="J212" s="7" t="s">
        <v>690</v>
      </c>
      <c r="K212" s="7" t="s">
        <v>684</v>
      </c>
    </row>
    <row r="213" spans="1:11" x14ac:dyDescent="0.25">
      <c r="A213" s="7" t="s">
        <v>664</v>
      </c>
      <c r="B213" s="7">
        <v>13</v>
      </c>
      <c r="C213" s="7">
        <v>10</v>
      </c>
      <c r="D213" s="7" t="s">
        <v>64</v>
      </c>
      <c r="E213" s="7" t="s">
        <v>691</v>
      </c>
      <c r="F213" t="s">
        <v>1678</v>
      </c>
      <c r="G213" s="7">
        <v>1</v>
      </c>
      <c r="H213" s="7">
        <v>4</v>
      </c>
      <c r="I213" s="7">
        <v>4</v>
      </c>
      <c r="J213" s="7" t="s">
        <v>692</v>
      </c>
      <c r="K213" s="7" t="s">
        <v>681</v>
      </c>
    </row>
    <row r="214" spans="1:11" x14ac:dyDescent="0.25">
      <c r="A214" s="7" t="s">
        <v>664</v>
      </c>
      <c r="B214" s="7">
        <v>14</v>
      </c>
      <c r="C214" s="7">
        <v>10</v>
      </c>
      <c r="D214" s="7" t="s">
        <v>64</v>
      </c>
      <c r="E214" s="7" t="s">
        <v>693</v>
      </c>
      <c r="F214" t="s">
        <v>1679</v>
      </c>
      <c r="G214" s="7">
        <v>1</v>
      </c>
      <c r="H214" s="7">
        <v>4</v>
      </c>
      <c r="I214" s="7">
        <v>4</v>
      </c>
      <c r="J214" s="7" t="s">
        <v>692</v>
      </c>
      <c r="K214" s="7" t="s">
        <v>694</v>
      </c>
    </row>
    <row r="215" spans="1:11" x14ac:dyDescent="0.25">
      <c r="A215" s="7" t="s">
        <v>664</v>
      </c>
      <c r="B215" s="7">
        <v>15</v>
      </c>
      <c r="C215" s="7">
        <v>41</v>
      </c>
      <c r="D215" s="7" t="s">
        <v>64</v>
      </c>
      <c r="E215" s="7" t="s">
        <v>695</v>
      </c>
      <c r="F215" t="s">
        <v>1680</v>
      </c>
      <c r="G215" s="7">
        <v>1</v>
      </c>
      <c r="H215" s="7">
        <v>2</v>
      </c>
      <c r="I215" s="7">
        <v>0</v>
      </c>
      <c r="J215" s="7" t="s">
        <v>692</v>
      </c>
      <c r="K215" s="7"/>
    </row>
    <row r="216" spans="1:11" x14ac:dyDescent="0.25">
      <c r="A216" s="7" t="s">
        <v>664</v>
      </c>
      <c r="B216" s="7">
        <v>16</v>
      </c>
      <c r="C216" s="7">
        <v>10</v>
      </c>
      <c r="D216" s="7" t="s">
        <v>64</v>
      </c>
      <c r="E216" s="7" t="s">
        <v>696</v>
      </c>
      <c r="F216" t="s">
        <v>1681</v>
      </c>
      <c r="G216" s="7">
        <v>1</v>
      </c>
      <c r="H216" s="7">
        <v>4</v>
      </c>
      <c r="I216" s="7">
        <v>4</v>
      </c>
      <c r="J216" s="7" t="s">
        <v>697</v>
      </c>
      <c r="K216" s="7" t="s">
        <v>684</v>
      </c>
    </row>
    <row r="217" spans="1:11" x14ac:dyDescent="0.25">
      <c r="A217" s="7" t="s">
        <v>664</v>
      </c>
      <c r="B217" s="7">
        <v>17</v>
      </c>
      <c r="C217" s="7">
        <v>10</v>
      </c>
      <c r="D217" s="7" t="s">
        <v>64</v>
      </c>
      <c r="E217" s="7" t="s">
        <v>698</v>
      </c>
      <c r="F217" t="s">
        <v>1682</v>
      </c>
      <c r="G217" s="7">
        <v>1</v>
      </c>
      <c r="H217" s="7">
        <v>2</v>
      </c>
      <c r="I217" s="7">
        <v>2</v>
      </c>
      <c r="J217" s="7" t="s">
        <v>699</v>
      </c>
      <c r="K217" s="7" t="s">
        <v>700</v>
      </c>
    </row>
    <row r="218" spans="1:11" x14ac:dyDescent="0.25">
      <c r="A218" s="7" t="s">
        <v>664</v>
      </c>
      <c r="B218" s="7">
        <v>18</v>
      </c>
      <c r="C218" s="7">
        <v>10</v>
      </c>
      <c r="D218" s="7" t="s">
        <v>64</v>
      </c>
      <c r="E218" s="7" t="s">
        <v>701</v>
      </c>
      <c r="F218" t="s">
        <v>1683</v>
      </c>
      <c r="G218" s="7">
        <v>1</v>
      </c>
      <c r="H218" s="7">
        <v>4</v>
      </c>
      <c r="I218" s="7">
        <v>4</v>
      </c>
      <c r="J218" s="7" t="s">
        <v>702</v>
      </c>
      <c r="K218" s="7" t="s">
        <v>694</v>
      </c>
    </row>
    <row r="219" spans="1:11" x14ac:dyDescent="0.25">
      <c r="A219" s="7" t="s">
        <v>664</v>
      </c>
      <c r="B219" s="7">
        <v>19</v>
      </c>
      <c r="C219" s="7">
        <v>41</v>
      </c>
      <c r="D219" s="7" t="s">
        <v>64</v>
      </c>
      <c r="E219" s="7" t="s">
        <v>104</v>
      </c>
      <c r="F219" t="s">
        <v>1684</v>
      </c>
      <c r="G219" s="7">
        <v>1</v>
      </c>
      <c r="H219" s="7">
        <v>2</v>
      </c>
      <c r="I219" s="7">
        <v>0</v>
      </c>
      <c r="J219" s="7" t="s">
        <v>702</v>
      </c>
      <c r="K219" s="7"/>
    </row>
    <row r="220" spans="1:11" x14ac:dyDescent="0.25">
      <c r="A220" s="7" t="s">
        <v>664</v>
      </c>
      <c r="B220" s="7">
        <v>20</v>
      </c>
      <c r="C220" s="7">
        <v>12</v>
      </c>
      <c r="D220" s="7" t="s">
        <v>5</v>
      </c>
      <c r="E220" s="7" t="s">
        <v>67</v>
      </c>
      <c r="F220" t="s">
        <v>1685</v>
      </c>
      <c r="G220" s="7">
        <v>1</v>
      </c>
      <c r="H220" s="7">
        <v>6</v>
      </c>
      <c r="I220" s="7">
        <v>0</v>
      </c>
      <c r="J220" s="7" t="s">
        <v>703</v>
      </c>
      <c r="K220" s="7" t="s">
        <v>704</v>
      </c>
    </row>
    <row r="221" spans="1:11" x14ac:dyDescent="0.25">
      <c r="A221" s="7" t="s">
        <v>664</v>
      </c>
      <c r="B221" s="7">
        <v>21</v>
      </c>
      <c r="C221" s="7">
        <v>10</v>
      </c>
      <c r="D221" s="7" t="s">
        <v>64</v>
      </c>
      <c r="E221" s="7" t="s">
        <v>705</v>
      </c>
      <c r="F221" t="s">
        <v>1686</v>
      </c>
      <c r="G221" s="7">
        <v>1</v>
      </c>
      <c r="H221" s="7">
        <v>1</v>
      </c>
      <c r="I221" s="7">
        <v>1</v>
      </c>
      <c r="J221" s="7" t="s">
        <v>666</v>
      </c>
      <c r="K221" s="7" t="s">
        <v>706</v>
      </c>
    </row>
    <row r="222" spans="1:11" x14ac:dyDescent="0.25">
      <c r="A222" s="7" t="s">
        <v>664</v>
      </c>
      <c r="B222" s="7">
        <v>22</v>
      </c>
      <c r="C222" s="7">
        <v>10</v>
      </c>
      <c r="D222" s="7"/>
      <c r="E222" s="7"/>
      <c r="F222"/>
      <c r="G222" s="7">
        <v>1</v>
      </c>
      <c r="H222" s="7"/>
      <c r="I222" s="7"/>
      <c r="J222" s="7"/>
      <c r="K222" s="7"/>
    </row>
    <row r="223" spans="1:11" x14ac:dyDescent="0.25">
      <c r="A223" s="7" t="s">
        <v>664</v>
      </c>
      <c r="B223" s="7">
        <v>23</v>
      </c>
      <c r="C223" s="7">
        <v>10</v>
      </c>
      <c r="D223" s="7"/>
      <c r="E223" s="7"/>
      <c r="F223"/>
      <c r="G223" s="7">
        <v>1</v>
      </c>
      <c r="H223" s="7"/>
      <c r="I223" s="7"/>
      <c r="J223" s="7"/>
      <c r="K223" s="7"/>
    </row>
    <row r="224" spans="1:11" x14ac:dyDescent="0.25">
      <c r="A224" s="7" t="s">
        <v>664</v>
      </c>
      <c r="B224" s="7">
        <v>24</v>
      </c>
      <c r="C224" s="7">
        <v>10</v>
      </c>
      <c r="D224" s="7"/>
      <c r="E224" s="7"/>
      <c r="F224"/>
      <c r="G224" s="7">
        <v>1</v>
      </c>
      <c r="H224" s="7"/>
      <c r="I224" s="7"/>
      <c r="J224" s="7"/>
      <c r="K224" s="7"/>
    </row>
    <row r="225" spans="1:11" x14ac:dyDescent="0.25">
      <c r="A225" s="7" t="s">
        <v>664</v>
      </c>
      <c r="B225" s="7">
        <v>25</v>
      </c>
      <c r="C225" s="7">
        <v>10</v>
      </c>
      <c r="D225" s="7"/>
      <c r="E225" s="7"/>
      <c r="F225"/>
      <c r="G225" s="7">
        <v>1</v>
      </c>
      <c r="H225" s="7"/>
      <c r="I225" s="7"/>
      <c r="J225" s="7"/>
      <c r="K225" s="7"/>
    </row>
    <row r="226" spans="1:11" x14ac:dyDescent="0.25">
      <c r="A226" s="7" t="s">
        <v>664</v>
      </c>
      <c r="B226" s="7">
        <v>25</v>
      </c>
      <c r="C226" s="7"/>
      <c r="D226" s="7"/>
      <c r="E226" s="7"/>
      <c r="F226" t="s">
        <v>1623</v>
      </c>
      <c r="G226" s="7"/>
      <c r="H226" s="7">
        <v>74</v>
      </c>
      <c r="I226" s="7">
        <v>64</v>
      </c>
      <c r="J226" s="7"/>
      <c r="K226" s="7"/>
    </row>
  </sheetData>
  <sheetProtection sheet="1" formatColumns="0" formatRows="0" autoFilter="0"/>
  <mergeCells count="1">
    <mergeCell ref="D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_BOM_Query">
                <anchor moveWithCells="1" sizeWithCells="1">
                  <from>
                    <xdr:col>0</xdr:col>
                    <xdr:colOff>142875</xdr:colOff>
                    <xdr:row>0</xdr:row>
                    <xdr:rowOff>114300</xdr:rowOff>
                  </from>
                  <to>
                    <xdr:col>2</xdr:col>
                    <xdr:colOff>180975</xdr:colOff>
                    <xdr:row>0</xdr:row>
                    <xdr:rowOff>647700</xdr:rowOff>
                  </to>
                </anchor>
              </controlPr>
            </control>
          </mc:Choice>
        </mc:AlternateContent>
      </controls>
    </mc:Choice>
  </mc:AlternateContent>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8A9329-724C-48F8-A26D-FCAA605AB3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Master Equipment List</vt:lpstr>
      <vt:lpstr>IO List</vt:lpstr>
      <vt:lpstr>P&amp;ID Tag List</vt:lpstr>
      <vt:lpstr>P&amp;ID Loops</vt:lpstr>
      <vt:lpstr>Utility Load Table</vt:lpstr>
      <vt:lpstr>Heat Load &amp; Noise</vt:lpstr>
      <vt:lpstr>Part Compliance</vt:lpstr>
      <vt:lpstr>All_BOM_Parts</vt:lpstr>
      <vt:lpstr>DropboxStatus</vt:lpstr>
      <vt:lpstr>Last_Synced</vt:lpstr>
      <vt:lpstr>Max_Amb_Plant_Temp</vt:lpstr>
      <vt:lpstr>Proj_Customer</vt:lpstr>
      <vt:lpstr>Proj_Folder</vt:lpstr>
      <vt:lpstr>Proj_Misc</vt:lpstr>
      <vt:lpstr>Proj_Name</vt:lpstr>
      <vt:lpstr>Proj_Number</vt:lpstr>
      <vt:lpstr>Proj_Specifications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Drew Lehman</dc:creator>
  <cp:lastModifiedBy>Drew Lehman</cp:lastModifiedBy>
  <cp:lastPrinted>2026-02-18T16:01:55Z</cp:lastPrinted>
  <dcterms:created xsi:type="dcterms:W3CDTF">2026-02-09T14:31:20Z</dcterms:created>
  <dcterms:modified xsi:type="dcterms:W3CDTF">2026-02-20T13:41:41Z</dcterms:modified>
</cp:coreProperties>
</file>