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0af39d57a76f5d8d/Projects/Excel VBA/"/>
    </mc:Choice>
  </mc:AlternateContent>
  <xr:revisionPtr revIDLastSave="8" documentId="8_{D2FB4BD5-A606-47FB-B02E-ECA5B1AE0D8C}" xr6:coauthVersionLast="47" xr6:coauthVersionMax="47" xr10:uidLastSave="{2F43D6A9-4D59-43D0-8C4A-87E43B450E4E}"/>
  <bookViews>
    <workbookView xWindow="-120" yWindow="-120" windowWidth="29040" windowHeight="15990" xr2:uid="{1623B8ED-4058-46C2-9732-4346EAB4C9B4}"/>
  </bookViews>
  <sheets>
    <sheet name="Master Equipment List" sheetId="5" r:id="rId1"/>
    <sheet name="IO List" sheetId="4" r:id="rId2"/>
    <sheet name="P&amp;ID Tag List" sheetId="1" r:id="rId3"/>
    <sheet name="P&amp;ID Loops" sheetId="6" r:id="rId4"/>
    <sheet name="Utility Load Table" sheetId="2" r:id="rId5"/>
    <sheet name="Heat Load &amp; Noise" sheetId="3" r:id="rId6"/>
    <sheet name="Part Compliance" sheetId="7" r:id="rId7"/>
    <sheet name="All_BOM_Parts" sheetId="8" r:id="rId8"/>
  </sheets>
  <functionGroups builtInGroupCount="19"/>
  <definedNames>
    <definedName name="Amb_Plant_Temp">'Heat Load &amp; Noise'!#REF!</definedName>
    <definedName name="DropboxStatus">'Master Equipment List'!$E$6</definedName>
    <definedName name="ExternalData_1" localSheetId="7" hidden="1">All_BOM_Parts!$A$3:$J$221</definedName>
    <definedName name="Last_Synced">'Master Equipment List'!$C$7</definedName>
    <definedName name="Max_Amb_Plant_Temp">'Heat Load &amp; Noise'!$H$2</definedName>
    <definedName name="Proj_Customer">'Master Equipment List'!$C$3</definedName>
    <definedName name="Proj_Folder">'Master Equipment List'!$C$6</definedName>
    <definedName name="Proj_Misc">'Master Equipment List'!$C$7</definedName>
    <definedName name="Proj_Name">'Master Equipment List'!$C$4</definedName>
    <definedName name="Proj_Number">'Master Equipment List'!$C$2</definedName>
    <definedName name="Proj_Specifications">'Master Equipment List'!$C$5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4" l="1"/>
  <c r="C2" i="4"/>
  <c r="I13" i="3" l="1"/>
  <c r="J13" i="3"/>
  <c r="H5" i="3"/>
  <c r="M9" i="3"/>
  <c r="I10" i="3"/>
  <c r="I11" i="3"/>
  <c r="I12" i="3"/>
  <c r="I14" i="3"/>
  <c r="J10" i="3"/>
  <c r="J11" i="3"/>
  <c r="J12" i="3"/>
  <c r="J14" i="3"/>
  <c r="L10" i="3" l="1"/>
  <c r="M10" i="3" s="1"/>
  <c r="L13" i="3"/>
  <c r="M13" i="3" s="1"/>
  <c r="L14" i="3"/>
  <c r="M14" i="3" s="1"/>
  <c r="L12" i="3"/>
  <c r="M12" i="3" s="1"/>
  <c r="L11" i="3"/>
  <c r="M11" i="3" s="1"/>
  <c r="H4" i="3" l="1"/>
  <c r="C6" i="7" l="1"/>
  <c r="C5" i="7"/>
  <c r="C4" i="7"/>
  <c r="C3" i="7"/>
  <c r="C2" i="7"/>
  <c r="C6" i="3"/>
  <c r="C5" i="3"/>
  <c r="C4" i="3"/>
  <c r="C3" i="3"/>
  <c r="C2" i="3"/>
  <c r="C6" i="2"/>
  <c r="C5" i="2"/>
  <c r="C4" i="2"/>
  <c r="C3" i="2"/>
  <c r="C2" i="2"/>
  <c r="C6" i="6"/>
  <c r="C5" i="6"/>
  <c r="C4" i="6"/>
  <c r="C3" i="6"/>
  <c r="C2" i="6"/>
  <c r="C6" i="1"/>
  <c r="C5" i="1"/>
  <c r="C4" i="1"/>
  <c r="C3" i="1"/>
  <c r="C2" i="1"/>
  <c r="C5" i="4"/>
  <c r="C4" i="4"/>
  <c r="C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5C4242-B3E9-47C2-A59D-0E299FED1C40}" keepAlive="1" name="Query - All_BOM_Parts" description="Connection to the 'All_BOM_Parts' query in the workbook." type="5" refreshedVersion="8" background="1" saveData="1">
    <dbPr connection="Provider=Microsoft.Mashup.OleDb.1;Data Source=$Workbook$;Location=All_BOM_Parts;Extended Properties=&quot;&quot;" command="SELECT * FROM [All_BOM_Parts]"/>
  </connection>
</connections>
</file>

<file path=xl/sharedStrings.xml><?xml version="1.0" encoding="utf-8"?>
<sst xmlns="http://schemas.openxmlformats.org/spreadsheetml/2006/main" count="4640" uniqueCount="1183">
  <si>
    <t>Manufacturer</t>
  </si>
  <si>
    <t>Part Number</t>
  </si>
  <si>
    <t>Description</t>
  </si>
  <si>
    <t>Notes</t>
  </si>
  <si>
    <t>001</t>
  </si>
  <si>
    <t>IFM</t>
  </si>
  <si>
    <t>DV1104</t>
  </si>
  <si>
    <t>ZSS-004</t>
  </si>
  <si>
    <t>004</t>
  </si>
  <si>
    <t>ZSS-005</t>
  </si>
  <si>
    <t>005</t>
  </si>
  <si>
    <t>ZSS-006</t>
  </si>
  <si>
    <t>006</t>
  </si>
  <si>
    <t>SC-100</t>
  </si>
  <si>
    <t>ROCKWELL</t>
  </si>
  <si>
    <t>20P41AD495RA0NNN</t>
  </si>
  <si>
    <t>HMI05140</t>
  </si>
  <si>
    <t>2711P-T19C22D9P</t>
  </si>
  <si>
    <t>LIT-201</t>
  </si>
  <si>
    <t>LT8024</t>
  </si>
  <si>
    <t>TIT-202</t>
  </si>
  <si>
    <t>TN2603</t>
  </si>
  <si>
    <t>PN2670</t>
  </si>
  <si>
    <t>PSV-302</t>
  </si>
  <si>
    <t>SUN</t>
  </si>
  <si>
    <t>RDHA-LSN-IAN</t>
  </si>
  <si>
    <t>PDS-303</t>
  </si>
  <si>
    <t>DONALDSON</t>
  </si>
  <si>
    <t>P567987</t>
  </si>
  <si>
    <t>PARKER</t>
  </si>
  <si>
    <t>N400S4F</t>
  </si>
  <si>
    <t>IFS316</t>
  </si>
  <si>
    <t>PRV-401</t>
  </si>
  <si>
    <t>PSV-403</t>
  </si>
  <si>
    <t>RDFA-LCN-CAM/S</t>
  </si>
  <si>
    <t>PDS-404</t>
  </si>
  <si>
    <t>HELM</t>
  </si>
  <si>
    <t>HCSO5-1500T</t>
  </si>
  <si>
    <t>PCV-408</t>
  </si>
  <si>
    <t>ATOS</t>
  </si>
  <si>
    <t>DPZO-LEB-SN-NP-270-L3</t>
  </si>
  <si>
    <t>MTS</t>
  </si>
  <si>
    <t>XSV-412</t>
  </si>
  <si>
    <t>PSV-413</t>
  </si>
  <si>
    <t>PG-414</t>
  </si>
  <si>
    <t>NOSHOK</t>
  </si>
  <si>
    <t>25-901-6000-psi/bar</t>
  </si>
  <si>
    <t>ZSV-415</t>
  </si>
  <si>
    <t>ZSV-416</t>
  </si>
  <si>
    <t>PSV-417</t>
  </si>
  <si>
    <t>RDFA-LCN</t>
  </si>
  <si>
    <t>PSV-418</t>
  </si>
  <si>
    <t>PRV-501</t>
  </si>
  <si>
    <t>PSV-503</t>
  </si>
  <si>
    <t>PDS-504</t>
  </si>
  <si>
    <t>PCV-508</t>
  </si>
  <si>
    <t>XSV-512</t>
  </si>
  <si>
    <t>PSV-513</t>
  </si>
  <si>
    <t>PG-514</t>
  </si>
  <si>
    <t>ZSV-515</t>
  </si>
  <si>
    <t>ZSV-516</t>
  </si>
  <si>
    <t>PSV-517</t>
  </si>
  <si>
    <t>PSV-518</t>
  </si>
  <si>
    <t>PRV-600</t>
  </si>
  <si>
    <t>FESTO</t>
  </si>
  <si>
    <t>ZV-610</t>
  </si>
  <si>
    <t>ZS-611</t>
  </si>
  <si>
    <t>MR0107</t>
  </si>
  <si>
    <t>ZV-620</t>
  </si>
  <si>
    <t>PRV-621</t>
  </si>
  <si>
    <t>ZS-623</t>
  </si>
  <si>
    <t>ZV-630</t>
  </si>
  <si>
    <t>ZS-631</t>
  </si>
  <si>
    <t>ZV-640</t>
  </si>
  <si>
    <t>PRV-641</t>
  </si>
  <si>
    <t>ZS-643</t>
  </si>
  <si>
    <t>ZS-700</t>
  </si>
  <si>
    <t>ZS-701</t>
  </si>
  <si>
    <t>TT-702</t>
  </si>
  <si>
    <t>TW2003</t>
  </si>
  <si>
    <t>TT-703</t>
  </si>
  <si>
    <t>ZS-704</t>
  </si>
  <si>
    <t>ZS-705</t>
  </si>
  <si>
    <t>PB09038</t>
  </si>
  <si>
    <t>PB09140</t>
  </si>
  <si>
    <t>PB09134</t>
  </si>
  <si>
    <t>PB09137</t>
  </si>
  <si>
    <t>20-HIM-C6S</t>
  </si>
  <si>
    <t>LG-200</t>
  </si>
  <si>
    <t>LDI Insustries</t>
  </si>
  <si>
    <t>V100300-AG</t>
  </si>
  <si>
    <t>THERMAL TRANSFER</t>
  </si>
  <si>
    <t>AOC-70-2-60-3PH</t>
  </si>
  <si>
    <t>WEG</t>
  </si>
  <si>
    <t>00718ET3E213TC-W22</t>
  </si>
  <si>
    <t>T7DSB351R00A100</t>
  </si>
  <si>
    <t>HYDAC</t>
  </si>
  <si>
    <t>C5V12-610B1</t>
  </si>
  <si>
    <t>HUNGER HYDRAULICS</t>
  </si>
  <si>
    <t>DAMAN</t>
  </si>
  <si>
    <t>10018ET3E405TC-W22</t>
  </si>
  <si>
    <t>SAF32E16Y1-N350F-S309L</t>
  </si>
  <si>
    <t>KHM-40SAE-1112-06X-A-I-1.300-SO760</t>
  </si>
  <si>
    <t>PV063R1D31NMMW</t>
  </si>
  <si>
    <t>DSNA-N-2 1/2"-4-PPVA-N5-MF2</t>
  </si>
  <si>
    <t>P&amp;ID Tag</t>
  </si>
  <si>
    <t>ELEC Tags</t>
  </si>
  <si>
    <t>HYD Tags</t>
  </si>
  <si>
    <t>PNU Tags</t>
  </si>
  <si>
    <t>Power</t>
  </si>
  <si>
    <t>120VAC:</t>
  </si>
  <si>
    <t>PSI</t>
  </si>
  <si>
    <t>480VAC(Δ):</t>
  </si>
  <si>
    <t>Shop Air:</t>
  </si>
  <si>
    <t>Voltage</t>
  </si>
  <si>
    <t>Phase</t>
  </si>
  <si>
    <t>F.L.A.</t>
  </si>
  <si>
    <t>Duty Cycle</t>
  </si>
  <si>
    <t>CFM</t>
  </si>
  <si>
    <t>Power (W)</t>
  </si>
  <si>
    <t>External Feed Requirements:</t>
  </si>
  <si>
    <t>Load Devices</t>
  </si>
  <si>
    <t>Electrical Load</t>
  </si>
  <si>
    <t>Pneumatic Load</t>
  </si>
  <si>
    <t>480VAC/60Hz/3P(Δ), 1200 AMP</t>
  </si>
  <si>
    <t>N/A</t>
  </si>
  <si>
    <t>Internally Supplied w/ Transformer</t>
  </si>
  <si>
    <t>480VAC</t>
  </si>
  <si>
    <t>480VAC Load Balance</t>
  </si>
  <si>
    <t>Power Units</t>
  </si>
  <si>
    <t>Include in Heat Load &amp; Noise Table?</t>
  </si>
  <si>
    <t>1321-3TH330-BB</t>
  </si>
  <si>
    <t>ACU04010</t>
  </si>
  <si>
    <t>ICEQUBE</t>
  </si>
  <si>
    <t>IQ1800VS-480</t>
  </si>
  <si>
    <t>TF04510</t>
  </si>
  <si>
    <t>TF04710</t>
  </si>
  <si>
    <t>PHOENIX CONTACT</t>
  </si>
  <si>
    <t>PSU05010</t>
  </si>
  <si>
    <t>Include in I/O List?</t>
  </si>
  <si>
    <t>Control Vairable</t>
  </si>
  <si>
    <t>Emergency Stop</t>
  </si>
  <si>
    <t>(HSS Estop buttons)</t>
  </si>
  <si>
    <t>wasn’t too sure about this one, one shows Estops as not having loop numbers, and I also don’t see general pushbutton / control I/O unless it specifically controls a single device (like more simple control systems where a switch may turn on a Motor or device rather than indirectly controlling the code which may then trigger a loop)</t>
  </si>
  <si>
    <t>Drive Perimeter Fence Open</t>
  </si>
  <si>
    <t>Entry Perimeter Fence Open</t>
  </si>
  <si>
    <t>Exit Perimeter Fence Open</t>
  </si>
  <si>
    <t>USC-001
(Safety PLC Program)</t>
  </si>
  <si>
    <t>Again, not sure about the loop numbering for this</t>
  </si>
  <si>
    <t>Top Roll Speed</t>
  </si>
  <si>
    <t>Btm Roll Speed</t>
  </si>
  <si>
    <t>Instrumentation
(Sensors &amp; I/O)</t>
  </si>
  <si>
    <t>SIC-100, ST-100</t>
  </si>
  <si>
    <t>110</t>
  </si>
  <si>
    <t>010</t>
  </si>
  <si>
    <t>(HMI Display)</t>
  </si>
  <si>
    <t>Again, not sure about the loop numbering for this, general I/O instrumentation that controls everything.</t>
  </si>
  <si>
    <t>Instrumentation Loop #</t>
  </si>
  <si>
    <t>SIC-110, ST-110</t>
  </si>
  <si>
    <t>Tank Level Low Switch (Alarm)</t>
  </si>
  <si>
    <t>Tank Temp High Switch (Alarm)</t>
  </si>
  <si>
    <t>LSC-201 (PLC Safety)</t>
  </si>
  <si>
    <t>TSC-202 (PLC Safety),
TI-202 (HMI)</t>
  </si>
  <si>
    <t>HYD Fluid Temp</t>
  </si>
  <si>
    <t>TE-300, TIT-300</t>
  </si>
  <si>
    <t>SC-110</t>
  </si>
  <si>
    <t>TIC-300</t>
  </si>
  <si>
    <t>HEX-300, MTR-300, MTR-301, MTR-302</t>
  </si>
  <si>
    <t>Trigger alarm if fluid level gets too low</t>
  </si>
  <si>
    <t>Trigger alarm if fluid temp exceeds limit (&gt;120°F = Temp High Warning, &gt;140°F = Temp ALARM)</t>
  </si>
  <si>
    <t>If fluid temp gets high, turn on kidney loop pump and heat exchanger (&lt;110°F turn off, &gt;110°F = turn on). Temp also displayed on HMI.</t>
  </si>
  <si>
    <t>PE-301, PIT-301</t>
  </si>
  <si>
    <t>PE-402, PIT-402</t>
  </si>
  <si>
    <t>PE-409, PIT-409</t>
  </si>
  <si>
    <t>PE-410, PIT-410</t>
  </si>
  <si>
    <t>PI-301</t>
  </si>
  <si>
    <t>Safety Relief - Self actuated: set at 150psi to 200psi</t>
  </si>
  <si>
    <t>Triggers at 70psid across filter</t>
  </si>
  <si>
    <t>PSI-303</t>
  </si>
  <si>
    <t>FIC-400</t>
  </si>
  <si>
    <t>XV-400, MTR-400, VDP-400</t>
  </si>
  <si>
    <t>When pump on signal is received, close the bypass valve and turn on motor/pump.</t>
  </si>
  <si>
    <t>FIC-500</t>
  </si>
  <si>
    <t>XV-500, MTR-500, VDP-500</t>
  </si>
  <si>
    <t>Self Actuated, controls pressure setpoint for pump output.</t>
  </si>
  <si>
    <t>Main System</t>
  </si>
  <si>
    <t>HYD - DR Cylinder</t>
  </si>
  <si>
    <t>HYD - Kidney Loop</t>
  </si>
  <si>
    <t>ELEC - Top Roll</t>
  </si>
  <si>
    <t>ELEC - Btm Roll</t>
  </si>
  <si>
    <t>ELEC - Safety</t>
  </si>
  <si>
    <t>HYD - OP Cylinder</t>
  </si>
  <si>
    <t>PNU - Top Roll Wiper Pivot</t>
  </si>
  <si>
    <t>PNU - General</t>
  </si>
  <si>
    <t>PNU - Top Roll Wiper Pressure</t>
  </si>
  <si>
    <t>PNU - Btm Roll Wiper Pivot</t>
  </si>
  <si>
    <t>PNU - Btm Roll Wiper Pressure</t>
  </si>
  <si>
    <t>ELEC - General</t>
  </si>
  <si>
    <t>Pump Pressure</t>
  </si>
  <si>
    <t>Pump On / Flow</t>
  </si>
  <si>
    <t>Pressure Relief</t>
  </si>
  <si>
    <t>Pressure</t>
  </si>
  <si>
    <t>Kidney Loop Pressure Display to HMI</t>
  </si>
  <si>
    <t>HYD - General / Tank</t>
  </si>
  <si>
    <t>Tank Level (Gauge)</t>
  </si>
  <si>
    <t>PI-402</t>
  </si>
  <si>
    <t>DR Cylinder Pump Pressure Display to HMI</t>
  </si>
  <si>
    <t>Safety Relief - Self actuated: set at 4650psi</t>
  </si>
  <si>
    <t>PSI-404</t>
  </si>
  <si>
    <t>Filter Dirty
(Differential Pressure)</t>
  </si>
  <si>
    <t>Pump Shutoff Valve Closed</t>
  </si>
  <si>
    <t>ZS-405</t>
  </si>
  <si>
    <t>ZS-406</t>
  </si>
  <si>
    <t>ZS-407</t>
  </si>
  <si>
    <t>ZS-505</t>
  </si>
  <si>
    <t>ZSC-405</t>
  </si>
  <si>
    <t>PC-405</t>
  </si>
  <si>
    <t>If Shutoff valve is closed, trigger alarm (stops pump or opens pump standby valve) and stops servo controller.</t>
  </si>
  <si>
    <t>Cylinder Feed
Shutoff Valve Closed</t>
  </si>
  <si>
    <t>ZSC-406</t>
  </si>
  <si>
    <t>PC-406</t>
  </si>
  <si>
    <t>Cylinder Return
Shutoff Valve Closed</t>
  </si>
  <si>
    <t>ZSC-407</t>
  </si>
  <si>
    <t>PC-407</t>
  </si>
  <si>
    <t>Force Control</t>
  </si>
  <si>
    <t>PC-408, PC-409, PC-410, PC-411</t>
  </si>
  <si>
    <t>PE-408, ZT-411, ZS-411, PIT-409, PIT-410</t>
  </si>
  <si>
    <t>Cylinder Cap Pressure</t>
  </si>
  <si>
    <t>Cylinder Rod Pressure</t>
  </si>
  <si>
    <t>PE-502, PIT-502</t>
  </si>
  <si>
    <t>Sent to Delta Servo Controller as redundant feedback and sent to PLC / HMI display.</t>
  </si>
  <si>
    <t>DR Roll Position</t>
  </si>
  <si>
    <t>ZS-411, ZT-411</t>
  </si>
  <si>
    <t>ZS-411 is the upper limit switch
ZT-411 is the linear position transducer</t>
  </si>
  <si>
    <t>ZC-411</t>
  </si>
  <si>
    <t>ZIC-411</t>
  </si>
  <si>
    <t>PC-410</t>
  </si>
  <si>
    <t>PC-409</t>
  </si>
  <si>
    <t>PIC-409</t>
  </si>
  <si>
    <t>PIC-410</t>
  </si>
  <si>
    <t>Accumulator Pressure Dump</t>
  </si>
  <si>
    <t>PSC-412</t>
  </si>
  <si>
    <t>Valve is de-energized to dump accumulator pressure to tank (when power is lost or for safety events)</t>
  </si>
  <si>
    <t>Safety Relief - Self actuated: set at 4650psi (Tosoh didn’t have a PSI labeled, I assume its 4650)</t>
  </si>
  <si>
    <t>Accumulator Pressure Relief</t>
  </si>
  <si>
    <t>Accumulator Pressure (Gauge)</t>
  </si>
  <si>
    <t>Cylinder Cap Locking Check</t>
  </si>
  <si>
    <t>Cylinder Rod Locking Check</t>
  </si>
  <si>
    <t>ZSC-415</t>
  </si>
  <si>
    <t>ZSC-416</t>
  </si>
  <si>
    <t>ZSC-505</t>
  </si>
  <si>
    <t>ZSC-506</t>
  </si>
  <si>
    <t>ZSC-507</t>
  </si>
  <si>
    <t>Locks the fluid in the cap side of the cylinder to prevent movement when roll is stopped or power is lost (normally closed).
NOTE: the pressure relief (PSV-417) is located between the cylinder and the locking check valve, so if Cap pressure exceeds 4650psi while locked (due to temp, shock, or load) it will still relieve pressure to that SP. The Cap pressure sensor (PE-409) is also located between the Cylinder and locking check)</t>
  </si>
  <si>
    <t>Locks the fluid in the Rod side of the cylinder to prevent movement when roll is stopped or power is lost (normally closed).
NOTE: the pressure relief (PSV-418) is located between the cylinder and the locking check valve, so if Rod pressure exceeds 4650psi while locked (due to temp, shock, or load) it will still relieve pressure to that SP. The Rod pressure sensor (PE-410) is also located between the Cylinder and locking check)</t>
  </si>
  <si>
    <t>Cylinder Cap Pressure Relief</t>
  </si>
  <si>
    <t>Cylinder Rod Pressure Relief</t>
  </si>
  <si>
    <t>Safety Relief - Self actuated: set at 4650psi. Local relief that protects Rod pressure from Load, Temp rise, and shocks.</t>
  </si>
  <si>
    <t>Safety Relief - Self actuated: set at 4650psi. Local relief that protects Cap pressure from Load, Temp rise, and shocks.</t>
  </si>
  <si>
    <t>PI-502</t>
  </si>
  <si>
    <t>PSI-504</t>
  </si>
  <si>
    <t>PC-505</t>
  </si>
  <si>
    <t>PC-506</t>
  </si>
  <si>
    <t>ZS-506</t>
  </si>
  <si>
    <t>ZS-507</t>
  </si>
  <si>
    <t>PC-507</t>
  </si>
  <si>
    <t>PC-508, PC-509, PC-510, PC-511</t>
  </si>
  <si>
    <t>Load Cell, Cap / Rod pressures, and position sensors are used to control the DR Cylinder force output (since applying force handles positioning AND force when loaded against material).
Load Cell is the primary control variable, but the other sensors also send data that this control loop uses for regulating force output via the servoproportional valve.</t>
  </si>
  <si>
    <t>PE-508, ZT-511, ZS-511, PIT-509, PIT-510</t>
  </si>
  <si>
    <t>PE-509, PIT-509</t>
  </si>
  <si>
    <t>PIC-509</t>
  </si>
  <si>
    <t>PC-509</t>
  </si>
  <si>
    <t>PC-510</t>
  </si>
  <si>
    <t>PIC-510</t>
  </si>
  <si>
    <t>PE-510, PIT-510</t>
  </si>
  <si>
    <t>ZS-511, ZT-511</t>
  </si>
  <si>
    <t>ZIC-511</t>
  </si>
  <si>
    <t>ZC-511</t>
  </si>
  <si>
    <t>ZS-511 is the upper limit switch
ZT-511 is the linear position transducer</t>
  </si>
  <si>
    <t>PSC-512</t>
  </si>
  <si>
    <t>ZSC-515</t>
  </si>
  <si>
    <t>ZSC-516</t>
  </si>
  <si>
    <t>Locks the fluid in the Rod side of the cylinder to prevent movement when roll is stopped or power is lost (normally closed).
NOTE: the pressure relief (PSV-518) is located between the cylinder and the locking check valve, so if Rod pressure exceeds 4650psi while locked (due to temp, shock, or load) it will still relieve pressure to that SP. The Rod pressure sensor (PE-510) is also located between the Cylinder and locking check)</t>
  </si>
  <si>
    <t>Locks the fluid in the cap side of the cylinder to prevent movement when roll is stopped or power is lost (normally closed).
NOTE: the pressure relief (PSV-517) is located between the cylinder and the locking check valve, so if Cap pressure exceeds 4650psi while locked (due to temp, shock, or load) it will still relieve pressure to that SP. The Cap pressure sensor (PE-509) is also located between the Cylinder and locking check)</t>
  </si>
  <si>
    <t>MTR-100, BLW-100</t>
  </si>
  <si>
    <t>MTR-110, BLW-110</t>
  </si>
  <si>
    <t>Encoder + PLC input controls the speed setpoint sent to the DC drive (SC-100) to control the motor / roll speed. Blower is always on when motor is on.</t>
  </si>
  <si>
    <t>Encoder + PLC input controls the speed setpoint sent to the DC drive (SC-110) to control the motor / roll speed. Blower is always on when motor is on.</t>
  </si>
  <si>
    <t>manual analog fluid level sight gauge</t>
  </si>
  <si>
    <t>Manual sight gauge for line / accumulator pressure.</t>
  </si>
  <si>
    <t>Pressure Regulator - self actuated: set at 80psi (100psi is the MAX allowed based on downstream equipment)</t>
  </si>
  <si>
    <t>Main Feed Pressure Feedback</t>
  </si>
  <si>
    <t>PE-601, PIT-601</t>
  </si>
  <si>
    <t>PE-622, PIT-622</t>
  </si>
  <si>
    <t>PI-601</t>
  </si>
  <si>
    <t>Main Feed Pressure feedback to HMI</t>
  </si>
  <si>
    <t>ZIC-610</t>
  </si>
  <si>
    <t>ZIC-611</t>
  </si>
  <si>
    <t>ZIC-612</t>
  </si>
  <si>
    <t>ZIC-620</t>
  </si>
  <si>
    <t>ZIC-623</t>
  </si>
  <si>
    <t>ZIC-630</t>
  </si>
  <si>
    <t>ZIC-631</t>
  </si>
  <si>
    <t>ZIC-632</t>
  </si>
  <si>
    <t>Valve In/Out Position</t>
  </si>
  <si>
    <t>ZIC-640</t>
  </si>
  <si>
    <t>Valve controls wiper pivot in/out position</t>
  </si>
  <si>
    <t>Extended Position Switch</t>
  </si>
  <si>
    <t>Retracted Position Switch</t>
  </si>
  <si>
    <t>PLC Feedback on pivot cylinder position (Wiper Pressure Out/Retracted)</t>
  </si>
  <si>
    <t>PLC Feedback on pivot cylinder position (Wiper Pivot Out/Retracted)</t>
  </si>
  <si>
    <t>PLC Feedback on pivot cylinder position (Wiper Pivot In/Extended)</t>
  </si>
  <si>
    <t>Valve controls wiper pressure (In/Extended w/ Pressure) or wiper retracted (Out/Retracted) position</t>
  </si>
  <si>
    <t>Pressure Regulator - self actuated: Adjust to set wiper pressure against roll.</t>
  </si>
  <si>
    <t>Displays wiper pressure to PLC/HMI</t>
  </si>
  <si>
    <t>PI-622</t>
  </si>
  <si>
    <t>Extended Wiper Pressure (Regulator)</t>
  </si>
  <si>
    <t>Wiper Pressure Feedback</t>
  </si>
  <si>
    <t>Main PNU Feed Pressure (Regulator)</t>
  </si>
  <si>
    <t>PE-642, PIT-642</t>
  </si>
  <si>
    <t>PI-642</t>
  </si>
  <si>
    <t>ZIC-643</t>
  </si>
  <si>
    <t>Entry Part Present</t>
  </si>
  <si>
    <t>ZIC-700</t>
  </si>
  <si>
    <t>ZIC-701</t>
  </si>
  <si>
    <t>ZIC-704</t>
  </si>
  <si>
    <t>ZIC-705</t>
  </si>
  <si>
    <t>Exit Part Present</t>
  </si>
  <si>
    <t>Entry Apron Crash Detected</t>
  </si>
  <si>
    <t>Exit Apron Crash Detected</t>
  </si>
  <si>
    <t>Top Roll Temp</t>
  </si>
  <si>
    <t>Btm Roll Temp</t>
  </si>
  <si>
    <t>TIC-702</t>
  </si>
  <si>
    <t>TIC-703</t>
  </si>
  <si>
    <t>PLC, HMI, DSC, SIS, Drive, etc.</t>
  </si>
  <si>
    <t>Master Equipment List Item</t>
  </si>
  <si>
    <t>Source</t>
  </si>
  <si>
    <t>QTY</t>
  </si>
  <si>
    <t>Removed from BOM</t>
  </si>
  <si>
    <t>ELEC Tag</t>
  </si>
  <si>
    <t>I/O Controller</t>
  </si>
  <si>
    <t>Loop / Equipment #</t>
  </si>
  <si>
    <t>Instrument / Equipment?</t>
  </si>
  <si>
    <t>Final Control Element(s)</t>
  </si>
  <si>
    <t>Loop Description &amp; Notes</t>
  </si>
  <si>
    <t>P&amp;ID Tags</t>
  </si>
  <si>
    <t>HYD Tag</t>
  </si>
  <si>
    <t>PNU Tag</t>
  </si>
  <si>
    <t>Master Equipment List</t>
  </si>
  <si>
    <t>600HP Face Reversing 4H Rolling Mill</t>
  </si>
  <si>
    <t>Project Information</t>
  </si>
  <si>
    <t>Project Number:</t>
  </si>
  <si>
    <t>Customer:</t>
  </si>
  <si>
    <t>Name:</t>
  </si>
  <si>
    <t>Disconnect Rating:</t>
  </si>
  <si>
    <t>Last Synced:</t>
  </si>
  <si>
    <t>Project Name:</t>
  </si>
  <si>
    <t>Efficiency / Losses</t>
  </si>
  <si>
    <t>Noise (dB)</t>
  </si>
  <si>
    <t>Location / Cabinet</t>
  </si>
  <si>
    <t>MCC</t>
  </si>
  <si>
    <t>OS1</t>
  </si>
  <si>
    <t>CC1</t>
  </si>
  <si>
    <t>Location</t>
  </si>
  <si>
    <t>Operator Station</t>
  </si>
  <si>
    <t>Mill Control Cabinet</t>
  </si>
  <si>
    <t>HYD Control Cabinet</t>
  </si>
  <si>
    <t>HCC</t>
  </si>
  <si>
    <t>Main Control Cabinet</t>
  </si>
  <si>
    <t>Heat Load (BTU/Hr)</t>
  </si>
  <si>
    <t>Surface Area (ft^2)</t>
  </si>
  <si>
    <t>Depth
(in)</t>
  </si>
  <si>
    <t>Width
(in)</t>
  </si>
  <si>
    <t>Height
(in)</t>
  </si>
  <si>
    <t>Total Heat Load (BTU/Hr)</t>
  </si>
  <si>
    <t>Target Cabinet Temp (°F)</t>
  </si>
  <si>
    <t>Internal + External</t>
  </si>
  <si>
    <t>From Devices</t>
  </si>
  <si>
    <t>Plant Temp - Target</t>
  </si>
  <si>
    <t>From Temp Differential</t>
  </si>
  <si>
    <t>Plant temp adds heat to cabinet</t>
  </si>
  <si>
    <t>Heat Load (External) (BTU/Hr)</t>
  </si>
  <si>
    <t>Temp Differential (∆°F)</t>
  </si>
  <si>
    <t>Total External Heat (BTU/hr)</t>
  </si>
  <si>
    <t>Total External Noise (dB)</t>
  </si>
  <si>
    <t>HPU</t>
  </si>
  <si>
    <t>Hydraulic Power Unit</t>
  </si>
  <si>
    <t>External / Machine Mounted Equipment</t>
  </si>
  <si>
    <t>Machine</t>
  </si>
  <si>
    <t>nvm I already do this. If the cabinet has no cooling, the max ambient temp fo the enclosure becomes equal to the ambient temp of the environment max, and any energy lost in the cabinet is also rejected to the outside environment.</t>
  </si>
  <si>
    <t>the SCE chart does tell you how much the internal temp will rise though, so you can track the max internal temp based on device losses and determine if you need cooling or not. But the heat rejected = heat losses always.</t>
  </si>
  <si>
    <t>Efficiency / Loss Units</t>
  </si>
  <si>
    <t>Total BTU/hr</t>
  </si>
  <si>
    <t>need to select if the cabinet is cooled or not, otherwise use SCE chart to find the temp rise above ambient THEN find the INT--&gt;EXT Heat Load
NOTE: Cabinet Air Conditioning Units should be marked as "External" location since they disperse cabinet heat and ACU noise to the environment</t>
  </si>
  <si>
    <t>Max Amb. Plant Temp (°F):</t>
  </si>
  <si>
    <t>Heat Safety Factor (%)</t>
  </si>
  <si>
    <t>BOM Source</t>
  </si>
  <si>
    <t>LOC</t>
  </si>
  <si>
    <t>LOC Description</t>
  </si>
  <si>
    <t>N</t>
  </si>
  <si>
    <t>Assy QTY</t>
  </si>
  <si>
    <t>Need QTY</t>
  </si>
  <si>
    <t>Item</t>
  </si>
  <si>
    <r>
      <t>For dropbox folders, set as "</t>
    </r>
    <r>
      <rPr>
        <b/>
        <sz val="11"/>
        <color theme="1"/>
        <rFont val="Aptos Narrow"/>
        <family val="2"/>
        <scheme val="minor"/>
      </rPr>
      <t>Y</t>
    </r>
    <r>
      <rPr>
        <sz val="11"/>
        <color theme="1"/>
        <rFont val="Aptos Narrow"/>
        <family val="2"/>
        <scheme val="minor"/>
      </rPr>
      <t xml:space="preserve">", then ONLY enter the </t>
    </r>
    <r>
      <rPr>
        <b/>
        <sz val="11"/>
        <color theme="1"/>
        <rFont val="Aptos Narrow"/>
        <family val="2"/>
        <scheme val="minor"/>
      </rPr>
      <t>(PATH)</t>
    </r>
    <r>
      <rPr>
        <sz val="11"/>
        <color theme="1"/>
        <rFont val="Aptos Narrow"/>
        <family val="2"/>
        <scheme val="minor"/>
      </rPr>
      <t xml:space="preserve"> portion:</t>
    </r>
  </si>
  <si>
    <t>Project Folder:</t>
  </si>
  <si>
    <t>User Entries</t>
  </si>
  <si>
    <t>Functional Description</t>
  </si>
  <si>
    <t>Dropbox Filepath?</t>
  </si>
  <si>
    <t>Make sure the Source BOM's tables are named "BOM" and stored at the proper file locations.
Adding columns to this table that matches columns in the source BOMs will pull that new data in as well.
Rebuild the power querry after adding new columns.</t>
  </si>
  <si>
    <t>NEED</t>
  </si>
  <si>
    <t>ELEC</t>
  </si>
  <si>
    <t>DELTA MOTION</t>
  </si>
  <si>
    <t>R200-B7L</t>
  </si>
  <si>
    <t>BURNDY</t>
  </si>
  <si>
    <t>KA30U</t>
  </si>
  <si>
    <t>GND00200</t>
  </si>
  <si>
    <t>R200-CPU20L</t>
  </si>
  <si>
    <t>RMC08000:0-1</t>
  </si>
  <si>
    <t>R2-KL004</t>
  </si>
  <si>
    <t>RMC08000</t>
  </si>
  <si>
    <t>R200-CA4</t>
  </si>
  <si>
    <t>RMC08000:02</t>
  </si>
  <si>
    <t>R200-LC8</t>
  </si>
  <si>
    <t>RMC08000:03</t>
  </si>
  <si>
    <t>R200-S8</t>
  </si>
  <si>
    <t>RMC08000:04</t>
  </si>
  <si>
    <t>R200-A8</t>
  </si>
  <si>
    <t>RMC08000:05</t>
  </si>
  <si>
    <t>R2-SC</t>
  </si>
  <si>
    <t>GRACE PORT</t>
  </si>
  <si>
    <t>P-R62#2-K3RF0</t>
  </si>
  <si>
    <t>GP04549</t>
  </si>
  <si>
    <t>R-3W-L-KIT</t>
  </si>
  <si>
    <t>IND00235</t>
  </si>
  <si>
    <t>LC08206, LC08218</t>
  </si>
  <si>
    <t>LT07346</t>
  </si>
  <si>
    <t>TMP07134, TMP07137</t>
  </si>
  <si>
    <t>O5P500</t>
  </si>
  <si>
    <t>PE07252, PE07255</t>
  </si>
  <si>
    <t>RD07246, RD07249, RD07343, RD07346, RD07349, RD07352</t>
  </si>
  <si>
    <t>E43001</t>
  </si>
  <si>
    <t>KEYENCE</t>
  </si>
  <si>
    <t>LV-H100</t>
  </si>
  <si>
    <t>LV-N11MN</t>
  </si>
  <si>
    <t>MARATHON</t>
  </si>
  <si>
    <t>PDB00220</t>
  </si>
  <si>
    <t>BFPB-37-1-3</t>
  </si>
  <si>
    <t>CC-BFPB-1-3</t>
  </si>
  <si>
    <t>CH1351</t>
  </si>
  <si>
    <t>MERSEN</t>
  </si>
  <si>
    <t>A4BQ1200</t>
  </si>
  <si>
    <t>DSC00200</t>
  </si>
  <si>
    <t>M1200L30</t>
  </si>
  <si>
    <t>HB274</t>
  </si>
  <si>
    <t>SFB535</t>
  </si>
  <si>
    <t>LUG1200</t>
  </si>
  <si>
    <t>ATQR15</t>
  </si>
  <si>
    <t>ATDR7</t>
  </si>
  <si>
    <t>AJT500</t>
  </si>
  <si>
    <t>6633J</t>
  </si>
  <si>
    <t>FU00206, FU01105, FU01205</t>
  </si>
  <si>
    <t>ATQR3</t>
  </si>
  <si>
    <t>RP5MA-14U-01D841S1011G7</t>
  </si>
  <si>
    <t>LDT08406, LDT08418</t>
  </si>
  <si>
    <t>251 416-2</t>
  </si>
  <si>
    <t>PANDUIT</t>
  </si>
  <si>
    <t>UGB2/0-414-18</t>
  </si>
  <si>
    <t>SPD00235</t>
  </si>
  <si>
    <t>ECB05033, ECB05046, ECB05103, ECB05116, ECB05133, ECB05303, ECB05316, ECB25003, ECB25103</t>
  </si>
  <si>
    <t>SOL05411, SOL05413, SOL05415, SOL05417, SOL05441, SOL05443, SOL25133, SOL25135</t>
  </si>
  <si>
    <t>FIL00439, FIL00539, FIL00639</t>
  </si>
  <si>
    <t>20-HIM-A6</t>
  </si>
  <si>
    <t>DRV01145, DRV01245</t>
  </si>
  <si>
    <t>TF01110, TF01210</t>
  </si>
  <si>
    <t>100-ETL580</t>
  </si>
  <si>
    <t>100-ETS460L</t>
  </si>
  <si>
    <t>MCR04533, MCR04534, MCR04538, MCR04539, MCR04543, MCR04544</t>
  </si>
  <si>
    <t>100-E460ED11</t>
  </si>
  <si>
    <t>1756-A4</t>
  </si>
  <si>
    <t>PLC05500</t>
  </si>
  <si>
    <t>1756-PB75</t>
  </si>
  <si>
    <t>1756-L81ES</t>
  </si>
  <si>
    <t>PLC05500:01</t>
  </si>
  <si>
    <t>1756-EN2T</t>
  </si>
  <si>
    <t xml:space="preserve">PLC05500:02, PLC05500:03 </t>
  </si>
  <si>
    <t>1756-N2</t>
  </si>
  <si>
    <t>PLC05500:04</t>
  </si>
  <si>
    <t>193-ECM-ETR</t>
  </si>
  <si>
    <t>MST04552, MST04555, MST24503, MST24506, MST24509, MST24512, MST24515</t>
  </si>
  <si>
    <t>100-E146ED11</t>
  </si>
  <si>
    <t>193-ESM-I-200A-E146</t>
  </si>
  <si>
    <t>193-EIO-63-24D</t>
  </si>
  <si>
    <t>193-EXP-PS-DC</t>
  </si>
  <si>
    <t>MST24503, MST24506, MST24509</t>
  </si>
  <si>
    <t>193-EXP-AIO-31</t>
  </si>
  <si>
    <t>199-FSMA1</t>
  </si>
  <si>
    <t>MST24503, MST24506</t>
  </si>
  <si>
    <t>100-C12D10</t>
  </si>
  <si>
    <t>MST24509</t>
  </si>
  <si>
    <t>193-ESM-I-30A-C23</t>
  </si>
  <si>
    <t>MST04552, MST04555, MST24509, MST24512, MST24515</t>
  </si>
  <si>
    <t>193-EIO-CM-C23</t>
  </si>
  <si>
    <t>100-C09D10</t>
  </si>
  <si>
    <t>MST04552, MST04555, MST24512, MST24515</t>
  </si>
  <si>
    <t>140MT-D9N-B40</t>
  </si>
  <si>
    <t>CB00906, CB01006, CB20706, CB20806</t>
  </si>
  <si>
    <t>140MG-J8E-D15</t>
  </si>
  <si>
    <t>CB20406, CB20506</t>
  </si>
  <si>
    <t>140MG-K8P-D40</t>
  </si>
  <si>
    <t>CB00306, CB01115, CB01215</t>
  </si>
  <si>
    <t>140MT-D9N-C16</t>
  </si>
  <si>
    <t>CB20606</t>
  </si>
  <si>
    <t>1497D-A15-M22-0-N</t>
  </si>
  <si>
    <t>20-COMM-E</t>
  </si>
  <si>
    <t>1734-AENTR</t>
  </si>
  <si>
    <t>RR06000, RR07000, RR09000</t>
  </si>
  <si>
    <t>1734-EP24DC</t>
  </si>
  <si>
    <t>RR07000</t>
  </si>
  <si>
    <t>1734-IB8S</t>
  </si>
  <si>
    <t>RR06000:01, RR07000:01, RR09000:01</t>
  </si>
  <si>
    <t>1734-OB8S</t>
  </si>
  <si>
    <t>RR06000:02</t>
  </si>
  <si>
    <t>1734-IB8</t>
  </si>
  <si>
    <t>1734-OB8E</t>
  </si>
  <si>
    <t>1734-TOP</t>
  </si>
  <si>
    <t>1734-IE8C</t>
  </si>
  <si>
    <t>RR07000:02</t>
  </si>
  <si>
    <t>1734-IE2V</t>
  </si>
  <si>
    <t>RR07000:03</t>
  </si>
  <si>
    <t>1783-CMS20DP</t>
  </si>
  <si>
    <t>ESW05040</t>
  </si>
  <si>
    <t>800FM-LF7</t>
  </si>
  <si>
    <t>800FM-F6</t>
  </si>
  <si>
    <t>800FM-LMP44</t>
  </si>
  <si>
    <t>ES06102, ES09102</t>
  </si>
  <si>
    <t>800F-MN3RX12</t>
  </si>
  <si>
    <t>800F-MN3GX10</t>
  </si>
  <si>
    <t>800F-MN3WX10</t>
  </si>
  <si>
    <t>800F-MX10</t>
  </si>
  <si>
    <t>PB09137, PB09140</t>
  </si>
  <si>
    <t>800FM-LF3</t>
  </si>
  <si>
    <t>800FM-F4</t>
  </si>
  <si>
    <t>1492-FB2C30-L</t>
  </si>
  <si>
    <t>1492-FB3C30-L</t>
  </si>
  <si>
    <t>1489-M1D040</t>
  </si>
  <si>
    <t>CB04533, CB04538, CB04543</t>
  </si>
  <si>
    <t>1489-M1D500</t>
  </si>
  <si>
    <t>CB04516</t>
  </si>
  <si>
    <t>100S-C09EJ331BC</t>
  </si>
  <si>
    <t xml:space="preserve">MCR06134, MCR06137, MCR06140, MCR06143, </t>
  </si>
  <si>
    <t>1492-PD3287</t>
  </si>
  <si>
    <t>PDB00230, PDB00320</t>
  </si>
  <si>
    <t>1492-PBC3</t>
  </si>
  <si>
    <t>700-HKM6Z24-3-4</t>
  </si>
  <si>
    <t>700-HN221</t>
  </si>
  <si>
    <t>1489-M1D050</t>
  </si>
  <si>
    <t>CB04549</t>
  </si>
  <si>
    <t>1489-M1D010</t>
  </si>
  <si>
    <t>CB04603</t>
  </si>
  <si>
    <t>1489-M1D020</t>
  </si>
  <si>
    <t>CB04522, CB04525, CB04722, CB04725</t>
  </si>
  <si>
    <t>1489-M1D030</t>
  </si>
  <si>
    <t>CB04552, CB04555, CB24503, CB24506, CB24509, CB24512, CB24515</t>
  </si>
  <si>
    <t>1497B-A9-M14-3-N</t>
  </si>
  <si>
    <t>100-PCE7</t>
  </si>
  <si>
    <t xml:space="preserve">CB00306, CB01115, CB01215, </t>
  </si>
  <si>
    <t>SCE</t>
  </si>
  <si>
    <t>SCE-30P20</t>
  </si>
  <si>
    <t>SCE-30EL2010LP</t>
  </si>
  <si>
    <t> SCE-48EL3616LPPL</t>
  </si>
  <si>
    <t>SCE-48P36</t>
  </si>
  <si>
    <t>SCE-24N2412LP</t>
  </si>
  <si>
    <t>SCE-24N24MP</t>
  </si>
  <si>
    <t>SCE-E24I</t>
  </si>
  <si>
    <t>SOL05233, SOL05238, SOL05243, SOL05248, SOL05253</t>
  </si>
  <si>
    <t>SCE-EKDF</t>
  </si>
  <si>
    <t>KS05233, KS05238, KS05243, KS05248, KS05253</t>
  </si>
  <si>
    <t>SCE-LF18</t>
  </si>
  <si>
    <t>LT04603, LT04606, LT04609, LT04612, LT04615, LT04618</t>
  </si>
  <si>
    <t>SCE-N86RX4024</t>
  </si>
  <si>
    <t>SCE-N86C7824</t>
  </si>
  <si>
    <t>SCE-N86L4024</t>
  </si>
  <si>
    <t>SCE-N86P40</t>
  </si>
  <si>
    <t>SCE-N86P78</t>
  </si>
  <si>
    <t> SCE-NBP8624</t>
  </si>
  <si>
    <t>SCE-DCP</t>
  </si>
  <si>
    <t>WIRE&amp;CABLE</t>
  </si>
  <si>
    <t>THN600-FT</t>
  </si>
  <si>
    <t>15'</t>
  </si>
  <si>
    <t>MTW250-FT</t>
  </si>
  <si>
    <t>350'</t>
  </si>
  <si>
    <t>MTW3s0-FT</t>
  </si>
  <si>
    <t>40'</t>
  </si>
  <si>
    <t>HYD</t>
  </si>
  <si>
    <t>Tank</t>
  </si>
  <si>
    <t>HYD TANK</t>
  </si>
  <si>
    <t>MAIN CYLINDER VALVES</t>
  </si>
  <si>
    <t>Main Loop - Pumps</t>
  </si>
  <si>
    <t>MAIN PUMP MOTOR</t>
  </si>
  <si>
    <t>Kidney Loop - Pump</t>
  </si>
  <si>
    <t>KIDNEY LOOP MOTOR</t>
  </si>
  <si>
    <t>Kindney Loop - Heat Exchanger</t>
  </si>
  <si>
    <t>HEAT EXCHANGER</t>
  </si>
  <si>
    <t>MAIN PUMPS</t>
  </si>
  <si>
    <t>KIDNEY LOOP PUMP</t>
  </si>
  <si>
    <t>MAGNALOY</t>
  </si>
  <si>
    <t>S3241222D</t>
  </si>
  <si>
    <t>MAIN MOTOR-PUMP ADAPTER</t>
  </si>
  <si>
    <t>M182702C</t>
  </si>
  <si>
    <t>KIDNEY LOOP MOTOR-PUMP ADAPTER</t>
  </si>
  <si>
    <t>M70012414</t>
  </si>
  <si>
    <t>MAIN PUMP COUPLINGS</t>
  </si>
  <si>
    <t>M770H5</t>
  </si>
  <si>
    <t>MAIN PUMP COUPLING INSERTS</t>
  </si>
  <si>
    <t>M70022824</t>
  </si>
  <si>
    <t>MAIN MOTOR COUPLINGS</t>
  </si>
  <si>
    <t>M20010810</t>
  </si>
  <si>
    <t>KIDNEY LOOP PUMP COUPLING</t>
  </si>
  <si>
    <t>M270N6</t>
  </si>
  <si>
    <t>KIDNEY LOOP COUPLING INSERT</t>
  </si>
  <si>
    <t>M20011210</t>
  </si>
  <si>
    <t>KIDNEY LOOP MOTOR COUPLING</t>
  </si>
  <si>
    <t>MDB405-W</t>
  </si>
  <si>
    <t>MAIN MOTOR MOUNT BARS</t>
  </si>
  <si>
    <t>MDB215-W</t>
  </si>
  <si>
    <t>KIDNEY LOOP MOTOR MOUNT BARS</t>
  </si>
  <si>
    <t>KIDNEY LOOP PRESSURE RELIEF VALVE</t>
  </si>
  <si>
    <t>Main Lines</t>
  </si>
  <si>
    <t>MAIN LINE PRESSURE RELIEF VALVE</t>
  </si>
  <si>
    <t>Main Cylinder Manifold</t>
  </si>
  <si>
    <t>MAIN CYLINDER A/B RELIEF VALVES (CHOCK PROTECTION)</t>
  </si>
  <si>
    <t>GS068110N</t>
  </si>
  <si>
    <t>MAIN CYLINDER BI-DIRECTIONAL POPPETS (CYLINDER LOCKING)</t>
  </si>
  <si>
    <t>CCS024D</t>
  </si>
  <si>
    <t>COILS FOR MAIN CYLINDER POPPETS</t>
  </si>
  <si>
    <t>Accumulators</t>
  </si>
  <si>
    <t>ACCUMULATOR PRESSURE GAUGE NEEDLE VALVE
(Smooths pressure spikes on gauge)</t>
  </si>
  <si>
    <t>PUMP MAIN LINE CHECK VALVES
(Protects pump from backflow w/ accumulators and load shock)</t>
  </si>
  <si>
    <t>P567643</t>
  </si>
  <si>
    <t>Main Line - Filter</t>
  </si>
  <si>
    <t>MAIN LINE FILTERS - HEAD</t>
  </si>
  <si>
    <t>P567648</t>
  </si>
  <si>
    <t>MAIN LINE FILTERS - HOUSING</t>
  </si>
  <si>
    <t>P566219</t>
  </si>
  <si>
    <t>MAIN LINE FILTERS - FILTER</t>
  </si>
  <si>
    <t>P567639</t>
  </si>
  <si>
    <t>Kindey Loop - Filter</t>
  </si>
  <si>
    <t>KIDNEY LOOP FILTER - HEAD</t>
  </si>
  <si>
    <t>P567649</t>
  </si>
  <si>
    <t>KIDNEY LOOP FILTER - HOUSING</t>
  </si>
  <si>
    <t>P566215</t>
  </si>
  <si>
    <t>KIDNEY LOOP FILTER - FILTER</t>
  </si>
  <si>
    <t>Main Line &amp; Kidney Loop - Filter</t>
  </si>
  <si>
    <t>MAIN LINE FILTER AND KIDNEY LOOP FILTER - ELECTRIC INDICATOR</t>
  </si>
  <si>
    <t>ACCUMULATOR SAFETY BLOCKS</t>
  </si>
  <si>
    <t>SB600-20F1/112S-345F</t>
  </si>
  <si>
    <t>HSS 242 B</t>
  </si>
  <si>
    <t>KBK 222/G</t>
  </si>
  <si>
    <t>FPS-400-F4-G4.1K</t>
  </si>
  <si>
    <t>ACCUMULATOR CHARGING KIT</t>
  </si>
  <si>
    <t>CYLINDER/PUMP SHUTOFF VALVES</t>
  </si>
  <si>
    <t>ACCUMULATOR PRESSURE GAUGES</t>
  </si>
  <si>
    <t>TANK FLOAT / TEMP SENSOR</t>
  </si>
  <si>
    <t>TANK TEMP / FLOAT SENSOR MOUNT</t>
  </si>
  <si>
    <t>TANK TEMP SENSOR (KIDNEY LOOP SETPOINTS)</t>
  </si>
  <si>
    <t>CYLINDER/PUMP SHUTOFF VALVE PROX SWITCHES</t>
  </si>
  <si>
    <t>Pumps and Main Cylinder Manifold</t>
  </si>
  <si>
    <t>MAIN LINE + CYLINDER A/B PORT PRESSURE SENSORS</t>
  </si>
  <si>
    <t>(CYLINDERS)</t>
  </si>
  <si>
    <t>MAIN CYLINDERS</t>
  </si>
  <si>
    <t>(CUSTOM CYLINDER CAP SIDE MANIFOLDS)</t>
  </si>
  <si>
    <t>MAIN CYLINDER MANIFOLDS</t>
  </si>
  <si>
    <t>(CUSTOM CYLINDER ROD SIDE MANIFOLDS)</t>
  </si>
  <si>
    <t>AW32 OIL</t>
  </si>
  <si>
    <t>HYDRAULIC OIL</t>
  </si>
  <si>
    <t>PNU</t>
  </si>
  <si>
    <t>MSB4-AQP:C4:J153-WP</t>
  </si>
  <si>
    <t>Main Filter / Regulator</t>
  </si>
  <si>
    <t>McMASTER</t>
  </si>
  <si>
    <t>6534K47</t>
  </si>
  <si>
    <t>Fitting - Shop Air Connection</t>
  </si>
  <si>
    <t>VABM-L1-18S-G38-3</t>
  </si>
  <si>
    <t>Manifolds</t>
  </si>
  <si>
    <t>AMTE-M-LH-G38</t>
  </si>
  <si>
    <t>Mufflers</t>
  </si>
  <si>
    <t>B-3/8</t>
  </si>
  <si>
    <t>Port Plugs</t>
  </si>
  <si>
    <t>VABD-L1-18X-S-G14</t>
  </si>
  <si>
    <t>Valve Seal Kits</t>
  </si>
  <si>
    <t>VABB-L1-18</t>
  </si>
  <si>
    <t>Spare Port Cover</t>
  </si>
  <si>
    <t>AD-G3/8-3/8NPT-I</t>
  </si>
  <si>
    <t>Fitting Adapter</t>
  </si>
  <si>
    <t>QB-3/8-3/8-U</t>
  </si>
  <si>
    <t>Main Regulator (x1), Manifolds (x2), Wiper Pressure Regulators (x4)</t>
  </si>
  <si>
    <t>Fitting</t>
  </si>
  <si>
    <t>VUVG-L18-P53E-T-G14-1R8L</t>
  </si>
  <si>
    <t>Wiper Pressure / Wiper Pivot Control Valves</t>
  </si>
  <si>
    <t>Valves</t>
  </si>
  <si>
    <t>AD-G1/4-1/4NPT-I</t>
  </si>
  <si>
    <t>QB-1/4-1/4-U</t>
  </si>
  <si>
    <t>Wiper Pivot Control Valves</t>
  </si>
  <si>
    <t>AD-G1/8-1/8NPT-I</t>
  </si>
  <si>
    <t>Wiper Pivot Cylinders</t>
  </si>
  <si>
    <t>GRLA-1/8-QB-1/4-U</t>
  </si>
  <si>
    <t>Directional Flow Control Valves</t>
  </si>
  <si>
    <t>ADN-S-50-20-A-P-A</t>
  </si>
  <si>
    <t>QB-1/4-3/8-U</t>
  </si>
  <si>
    <t>Wiper Pressure Control Valves</t>
  </si>
  <si>
    <t>MS4-LR-AQP-D6-AD11-WR</t>
  </si>
  <si>
    <t>Wiper Pressure Regulator</t>
  </si>
  <si>
    <t>Pressure Regulator</t>
  </si>
  <si>
    <t>GRLA-3/8-QB-3/8-U</t>
  </si>
  <si>
    <t>Wiper Pressure Cylinders</t>
  </si>
  <si>
    <t>Cylinders</t>
  </si>
  <si>
    <t>Position Reed Switches</t>
  </si>
  <si>
    <t>QBT-3/8T-U</t>
  </si>
  <si>
    <t>Main Manifold Feed Line Tee</t>
  </si>
  <si>
    <t/>
  </si>
  <si>
    <t>ELEC, PNU</t>
  </si>
  <si>
    <t>ELEC, HYD</t>
  </si>
  <si>
    <t>PLC05500:02, PLC05500:03</t>
  </si>
  <si>
    <t>MCR06134, MCR06137, MCR06140, MCR06143,</t>
  </si>
  <si>
    <t>CB00306, CB01115, CB01215,</t>
  </si>
  <si>
    <t>Include in Utility Load Table?</t>
  </si>
  <si>
    <r>
      <t>C:\Users\%USERNAME%\</t>
    </r>
    <r>
      <rPr>
        <b/>
        <sz val="11"/>
        <color theme="1"/>
        <rFont val="Aptos Narrow"/>
        <family val="2"/>
        <scheme val="minor"/>
      </rPr>
      <t>(PATH)</t>
    </r>
  </si>
  <si>
    <t>Y</t>
  </si>
  <si>
    <t>FORTRESS</t>
  </si>
  <si>
    <t>THHRZSNSMELQ8</t>
  </si>
  <si>
    <t>INT07102-1, INT07102-2, INT07102-3</t>
  </si>
  <si>
    <t>Perimeter Fencing Door Interlocks</t>
  </si>
  <si>
    <t>ECB05033</t>
  </si>
  <si>
    <t>ECB05046</t>
  </si>
  <si>
    <t>ECB05103</t>
  </si>
  <si>
    <t>ECB05116</t>
  </si>
  <si>
    <t>ECB05133</t>
  </si>
  <si>
    <t>ECB05303</t>
  </si>
  <si>
    <t>ECB05316</t>
  </si>
  <si>
    <t>ECB25003</t>
  </si>
  <si>
    <t>ECB25103</t>
  </si>
  <si>
    <t>MST04552</t>
  </si>
  <si>
    <t>MST04555</t>
  </si>
  <si>
    <t>MST24503</t>
  </si>
  <si>
    <t>MST24506</t>
  </si>
  <si>
    <t>MST24512</t>
  </si>
  <si>
    <t>MST24515</t>
  </si>
  <si>
    <t>TMP07134</t>
  </si>
  <si>
    <t>TMP07137</t>
  </si>
  <si>
    <t>PE07252</t>
  </si>
  <si>
    <t>PE07255</t>
  </si>
  <si>
    <t>RD07246</t>
  </si>
  <si>
    <t>RD07249</t>
  </si>
  <si>
    <t>RD07343</t>
  </si>
  <si>
    <t>RD07346</t>
  </si>
  <si>
    <t>RD07349</t>
  </si>
  <si>
    <t>RD07352</t>
  </si>
  <si>
    <t>PX07234</t>
  </si>
  <si>
    <t>PX07237</t>
  </si>
  <si>
    <t>PX07240</t>
  </si>
  <si>
    <t>PX07243</t>
  </si>
  <si>
    <t>PX07355</t>
  </si>
  <si>
    <t>PX07404</t>
  </si>
  <si>
    <t>PX07407</t>
  </si>
  <si>
    <t>PX07410</t>
  </si>
  <si>
    <t>ES06102</t>
  </si>
  <si>
    <t>ES09102</t>
  </si>
  <si>
    <t>MCR06134</t>
  </si>
  <si>
    <t>MCR06137</t>
  </si>
  <si>
    <t>MCR06140</t>
  </si>
  <si>
    <t>MCR06143</t>
  </si>
  <si>
    <t>INT07102-1</t>
  </si>
  <si>
    <t>INT07102-2</t>
  </si>
  <si>
    <t>INT07102-3</t>
  </si>
  <si>
    <t>(Defaults to Master Equipment List Description, but can be edited here per tag)</t>
  </si>
  <si>
    <t>(Defaults to Master Equipment List Description, but can be edited)</t>
  </si>
  <si>
    <t>MCC - Panel Ground Lug</t>
  </si>
  <si>
    <t>CC1 - Delta Controller - Analog Input Card</t>
  </si>
  <si>
    <t>CC1 - Delta Controller - Base</t>
  </si>
  <si>
    <t>CC1 - Delta Controller - Analog Output Card</t>
  </si>
  <si>
    <t>CC1 - Delta Controller - CPU</t>
  </si>
  <si>
    <t>CC1 - Delta Controller - Load Cell Card</t>
  </si>
  <si>
    <t>CC1 - Delta Controller - SSI Input Card</t>
  </si>
  <si>
    <t>CC1 - Delta Controller - Feature Key</t>
  </si>
  <si>
    <t>CC1 - Delta Controller - Slot Cover</t>
  </si>
  <si>
    <t>MCC - Door - Graceport</t>
  </si>
  <si>
    <t>MCC - Door - 480V Power Indicator (PESD)</t>
  </si>
  <si>
    <t>Mill - DR / OP Roll - Load Cells</t>
  </si>
  <si>
    <t>MCC - AC Unit</t>
  </si>
  <si>
    <t>LT07516</t>
  </si>
  <si>
    <t>THS20641</t>
  </si>
  <si>
    <t>HYD - Tank - Temp / Level Alarm Mount</t>
  </si>
  <si>
    <t>PX07234, PX07237, PX07240, PX07243,  PX07355, PX07404, PX07407, PX07410, PX20441,  PX20541</t>
  </si>
  <si>
    <t xml:space="preserve">Mill - DR / OP Roll - Upper Limit Prox
HYD - DR / OP Cylinder - Pressure Ball Valve Shut Prox
HYD - DR / OP Cylinder - Return Ball Valve Shut Prox
HYD - DR / OP Pump - Ball Valve Shut Prox
</t>
  </si>
  <si>
    <t>HYD - Tank - Temp / Level Alarm</t>
  </si>
  <si>
    <t>PNU - Top / Btm Roll Wipers - Pivot In/Out Reed Switches
PNU - Top / Btm Roll Wipers - Pressure Retracted Reed Switches</t>
  </si>
  <si>
    <t>Mill - Entry / Exit Apron - Part Present Sensors</t>
  </si>
  <si>
    <t>PT08605, PT08611, PT08617, PT08623, PT20447, PT20547, PT20647</t>
  </si>
  <si>
    <t>HYD - DR / OP Cylinder - Cap / Rod Pressure Sensors
HYD - Pumps - Pressure Sensors</t>
  </si>
  <si>
    <t>TMP20653</t>
  </si>
  <si>
    <t>HYD - Tank - Analog Temp Sensor</t>
  </si>
  <si>
    <t>Mill - Top / Btm Roll - Roll Temp IR Sensors</t>
  </si>
  <si>
    <t>MCC - 480V Distribution - Starter Feed</t>
  </si>
  <si>
    <t>PDB00200</t>
  </si>
  <si>
    <t>MCC - 480V Distribution - Main Breaker Feeds</t>
  </si>
  <si>
    <t>MCC - 480V Distribution - Main Breaker Feed Covers</t>
  </si>
  <si>
    <t>MCC - 480V Distribution - Starter Feed Covers</t>
  </si>
  <si>
    <t>MCC - 480V Distribution - Starter Feed Fuse Block
MCC - 480V Distribution - Top / Btm Roll Drive Fuse Block</t>
  </si>
  <si>
    <t>MCC - Disconnect - Fuses</t>
  </si>
  <si>
    <t>FU00206-1...3, FU01105-1...3, FU01205-1...3</t>
  </si>
  <si>
    <t>MCC - 480V Distribution - Starter Feed Fuses
MCC - 480V Distribution - Top / Btm Roll Drive Fuses</t>
  </si>
  <si>
    <t>FU05005-1...3</t>
  </si>
  <si>
    <t>MCC - 24VDC Power Supply - Fuses</t>
  </si>
  <si>
    <t>FU04005-1…2, FU04505-1…2</t>
  </si>
  <si>
    <t>MCC - AC Unit - Fuses
MCC - 120VAC Transformer - Primary Side - Fuses</t>
  </si>
  <si>
    <t>FU04705-1...2, FU04716</t>
  </si>
  <si>
    <t>MCC - 240VAC Transformer - Primary + Secondary Fuses</t>
  </si>
  <si>
    <t>MCC - Disconnect - Handle</t>
  </si>
  <si>
    <t>MCC - Disconnect - Lugs</t>
  </si>
  <si>
    <t>MCC - Disconnect</t>
  </si>
  <si>
    <t>MCC - Disconnect - Shaft</t>
  </si>
  <si>
    <t>Mill - DR / OP Roll - Linear Position Transducer Magnets</t>
  </si>
  <si>
    <t>Mill - DR / OP Roll - Linear Position Transducers</t>
  </si>
  <si>
    <t>MCC - Panel Ground BAR</t>
  </si>
  <si>
    <t>MCC - 24VDC Power Supply</t>
  </si>
  <si>
    <t>4P DIN 43650 (EN 175301-803 Form A) Solenoid Cables:
HYD - Pump Filters - Filter Dirty Pressure Switches</t>
  </si>
  <si>
    <t>5P M12 Sensor Cable:
OS1 - Status Light</t>
  </si>
  <si>
    <t>3P DIN 43650 (EN 175301-803 Form A) Solenoid Cables:
HYD - DR / OP Cylinder - Cap / Rod Locking Check Valves
HYD - DR / OP Cylinder - Accumulator Discharge Valves
HYD - DR / OP Pumps - Pump Standby Valves</t>
  </si>
  <si>
    <t>TMP07134, TMP07137, PT07140, PT07143, PT07146, PT08605, PT08611, PT08617, PT08623, PT20447, PT20547, PT20647, TMP20653</t>
  </si>
  <si>
    <t>Shielded 4P M12 Sensor Cables:
Mill - Top / Btm Roll - Roll Temp IR Sensors
PNU - Main Regulator - Pressure Sensor
PNU - Top / Btm Roll Wipers - Regulator Pressure Sensor
HYD - DR / OP Cylinder - Cap / Rod Pressure Sensor
HYD - Pumps - Pressure Sensor
HYD - Tank - Analog Temp Sensor</t>
  </si>
  <si>
    <t>Shielded 5P M12 Sensor Cables:
Mill - DR / OP Roll - Load Cells</t>
  </si>
  <si>
    <t>8P M12 Sensor Cable:
HYD - Tank - Temp / Level Alarm</t>
  </si>
  <si>
    <t>Shielded 8P M12 Sensor Cables:
Mill - DR / OP Roll - Linear Position Transducer</t>
  </si>
  <si>
    <t>PX07234, PX07237, PX07240, PX07243, PX07355, PX07404, PX07407, PX07410 PE07252, PE07255 RD07246, RD07249, RD07343, RD07346, RD07349, RD07352, PX20441,  PX20541</t>
  </si>
  <si>
    <t>4P M12 Sensor Cables:
Mill - Entry / Exit Apron - Part Present Sensor
Mill - DR / OP Roll - Upper Limit Prox
HYD - Pump &amp; Cylinder - Ball Valve Shut Prox
PNU - Top / Btm Roll Wipers - Pivot In/Out Reed Switch
PNU - Top / Btm Roll Wipers - Pressure Retracted Reed Switch</t>
  </si>
  <si>
    <t>SOL05403, SOL05405, SOL05407, SOL05409, SOL05433, SOL05435, SOL05437, SOL05439</t>
  </si>
  <si>
    <t>3P M8 Sensor Cables:
PNU - Top / Btm Roll Wipers - Pivot Cylinder Valves
PNU - Top / Btm Roll Wipers - Pressure Cylinder Valves</t>
  </si>
  <si>
    <t>MCC - 480V Distribution - Surge Protector</t>
  </si>
  <si>
    <t>MCC - Top / Btm Roll Motor - Blower Motor Starters - Contactor (9A)
HYD - Kidney Loop Fans - Motor Starter - Contactor (9A)</t>
  </si>
  <si>
    <t>HYD - Kidney Loop Pump - Motor Starter - Contactor (12A)</t>
  </si>
  <si>
    <t>HYD - DR / OP Cylinder Pump - Motor Starters - Contactor (146A)</t>
  </si>
  <si>
    <t>MCC - Top / Btm Roll Drive - Mains Feed Starter - Contactor (460A)
MCC - 480V Distribution - Mains Feed Starter - Contactor (460A)</t>
  </si>
  <si>
    <t>MCR04534, MCR04539, MCR04544</t>
  </si>
  <si>
    <t>MCC - Top / Btm Roll Drive - Mains Feed Starter - Lugs
MCC - 480V Distribution - Mains Feed Starter - Lugs</t>
  </si>
  <si>
    <t>MCC - Top / Btm Roll Drive - Mains Feed Starter - Terminal Shrouds
MCC - 480V Distribution - Mains Feed Starter - Terminal Shrouds</t>
  </si>
  <si>
    <t>MCC - Top / Btm Roll Drive - Mains Feed Starter - Circuit Breaker to Contactor Linking Busbar
MCC - 480V Distribution - Mains Feed Starter - Circuit Breaker to Contactor Linking Busbar</t>
  </si>
  <si>
    <t>MCC - Mill CC1 24V Power Control - Safety Contactor (9A)
MCC - MCC Starter 120V Power Control - Safety Contactor (9A)</t>
  </si>
  <si>
    <t>MCC - Top / Btm Roll Drive - 480V (∆ to Y) Isolation Transformer</t>
  </si>
  <si>
    <t>HYD - DR / OP Cylinder Pump - Motor Starters - Motor Protection Circuit Protector (150A)</t>
  </si>
  <si>
    <t>MCC - Top / Btm Roll Drive - Mains Feed Starter - Motor Protection Circuit Protector (400A)
MCC - 480V Distribution - Mains Feed Starter - Motor Protection Circuit Protector (400A)</t>
  </si>
  <si>
    <t>MCC - Top / Btm Roll Motor - Blower Motor - Motor Circuit Protector (4A)
HYD - Kidney Loop Fans - Motor Circuit Protector (4A)</t>
  </si>
  <si>
    <t>HYD - Kidney Loop Pump - Motor Starter - Motor Circuit Protector (16A)</t>
  </si>
  <si>
    <t>MCC - Cabinet LED Lighting - Circuit Breaker (1A)</t>
  </si>
  <si>
    <t>MCC - Top / Btm Mill Drive - 120VAC Control Power - Circuit Breaker (2A)
MCC - Top / Btm Mill Drive - 240VAC Fan Power - Circuit Breaker (2A)</t>
  </si>
  <si>
    <t>MCC - Top / Btm Roll Motor - Blower Motor Starters - Circuit Breaker (3A)
HYD - DR / OP Cylinder Pump - Motor Starters - Circuit Breaker (3A)
HYD - Kidney Loop Pump - Motor Starter - Circuit Breaker (3A)
HYD - Kidney Loop Fans - Motor Starter - Circuit Breaker (3A)</t>
  </si>
  <si>
    <t>MCC - Top / Btm Roll Drive - Mains Feed Starter - Circuit Breaker (4A)
MCC - 480V Distribution - Mains Feed Starter - Circuit Breaker (4A)</t>
  </si>
  <si>
    <t>MCC - Graceport - 120V Supply - Circuit Breaker (5A)</t>
  </si>
  <si>
    <t>MCC - 120VAC Transformer - Secondary Side - Circuit Breaker (50A)</t>
  </si>
  <si>
    <t>MCC - AC Unit - Fuse Holder
MCC - 120VAC Transformer - Fuse Holder</t>
  </si>
  <si>
    <t>FU05005-1…3</t>
  </si>
  <si>
    <t>MCC - 24VDC Power Supply - Fuse Holder</t>
  </si>
  <si>
    <t>480V Distribution - General Device Feed Cover
480V Distribution - HYD Unit Starter Feed Cover</t>
  </si>
  <si>
    <t>480V Distribution - General Device Feed
480V Distribution - HYD Unit Starter Feed</t>
  </si>
  <si>
    <t>MCC - 240VAC Transformer</t>
  </si>
  <si>
    <t>MCC - 120VAC Transformer</t>
  </si>
  <si>
    <t>MCC - Remote Rack - CPU
Mill - Remote Rack - CPU
OS1 - Remote Rack - CPU</t>
  </si>
  <si>
    <t>Mill - Remote Rack - I/O Power Supply Expansion</t>
  </si>
  <si>
    <t>RR06000:03, RR06000:04 RR07000:04, RR07000:05, RR007000:06, RR07000:07, RR07000:08, RR09000:02</t>
  </si>
  <si>
    <t>MCC - Remote Rack - I/O Card (8P DI) (x2)
Mill - Remote Rack - I/O Card (8P DI) (x5)
OS1 - Remote Rack - I/O Card (8P DI) (x1)</t>
  </si>
  <si>
    <t>MCC - Remote Rack - I/O Card (8P DI Safety)
Mill - Remote Rack - I/O Card (8P DI Safety)
OS1 - Remote Rack - I/O Card (8P DI Safety)</t>
  </si>
  <si>
    <t>Mill - Remote Rack - I/O Card (2P AI Voltage)</t>
  </si>
  <si>
    <t>Mill - Remote Rack - I/O Card (8P AI Current)</t>
  </si>
  <si>
    <t>RR06000:05, RR06000:06, RR07000:09, RR07000:10, RR07000:11, RR09000:03</t>
  </si>
  <si>
    <t>MCC - Remote Rack - I/O Card (8P DO) (x2)
Mill - Remote Rack - I/O Card (8P DO) (x3)
OS1 - Remote Rack - I/O Card (8P DO) (x1)</t>
  </si>
  <si>
    <t>MCC - Remote Rack - I/O Card (8P DO Safety)</t>
  </si>
  <si>
    <t>MCC - Remote Rack - Terminal Bases (x8)
Mill - Remote Rack - Terminal Bases (x12)
OS1 - Remote Rack - Terminal Bases (x4)</t>
  </si>
  <si>
    <t>MCC - PLC - Chassis</t>
  </si>
  <si>
    <t>MCC - PLC - Ethernet Interface Cards</t>
  </si>
  <si>
    <t>MCC - PLC - CPU</t>
  </si>
  <si>
    <t>MCC - PLC - Empty Slot Filler Cover</t>
  </si>
  <si>
    <t>MCC - PLC - Power Supply</t>
  </si>
  <si>
    <t>MCC - Managed Ethernet Switch (18P)</t>
  </si>
  <si>
    <t>MCC - Top / Btm Roll Motor - Blower Motor Starters - Electronic Overload Relay w/ Ethernet Comms
HYD - DR / OP Cylinder Pump - Motor Starters - Electronic Overload Relay w/ Ethernet Comms
HYD - Kidney Loop Pump - Motor Starter - Electronic Overload Relay w/ Ethernet Comms
HYD - Kidney Loop Fans - Motor Starter - Electronic Overload Relay w/ Ethernet Comms</t>
  </si>
  <si>
    <t>MCC - Top / Btm Roll Motor - Blower Motor Starters - I/O Card (6P DI + 3P DO)
HYD - DR / OP Cylinder Pump - Motor Starters - I/O Card (6P DI + 3P DO)
HYD - Kidney Loop Pump - Motor Starter - I/O Card (6P DI + 3P DO)
HYD - Kidney Loop Fans - Motor Starter - I/O Card (6P DI + 3P DO)</t>
  </si>
  <si>
    <t>HYD - DR / OP Cylinder Pump - Motor Starters - Electronic Overload Relay Controller (20…200A)</t>
  </si>
  <si>
    <t>MCC - Top / Btm Roll Motor - Blower Motor Starters - Electronic Overload Relay Controller (0.5…30A)</t>
  </si>
  <si>
    <t>HYD - DR / OP Cylinder Pump - Motor Starters - I/O Card (3P AI + 1P AO)
HYD - Kidney Loop Pump - Motor Starter - I/O Card (3P AI + 1P AO)</t>
  </si>
  <si>
    <t>HYD - DR / OP Cylinder Pump - Motor Starters - I/O Power Supply
HYD - Kidney Loop Pump - Motor Starter - I/O Power Supply</t>
  </si>
  <si>
    <t>HYD - DR / OP Cylinder Pump - Motor Starters - Coil RC Surge Suppressor</t>
  </si>
  <si>
    <t>MCC - Top / Btm Roll Drive - Ethernet Comms Adapter</t>
  </si>
  <si>
    <t>MCC - Top / Btm Roll Drives</t>
  </si>
  <si>
    <t>OS1 - HMI Control Panel</t>
  </si>
  <si>
    <t>CR07504, CR07507, CR07510, CR07513, CR07534, CR07537, CR07540, CR07543, CR07546, CR07549, CR07552, CR07555</t>
  </si>
  <si>
    <t>Mill - Remote Rack - Solenoid Control Relays</t>
  </si>
  <si>
    <t>Mill - Remote Rack - Solenoid Control Relay - Bases</t>
  </si>
  <si>
    <t>OS1 - Pushbutton - Line Stop - Actuator (Red)</t>
  </si>
  <si>
    <t>OS1 - Pushbutton - Reset - Actuator (Blue)</t>
  </si>
  <si>
    <t>OS1 - Pushbutton - Line Start - Actuator (Illuminated Green)</t>
  </si>
  <si>
    <t>OS1 - Pushbutton - Control Power On - Actuator (Illuminated Clear)</t>
  </si>
  <si>
    <t>OS1 - Pushbutton - E-Stop - Actuator (Illuminated Red, Mushroom, Latching)</t>
  </si>
  <si>
    <t>MCC - Cabinet - Door Interlocks</t>
  </si>
  <si>
    <t>MCC - Cabinet - Door Interlocks - Defeater Key Switch</t>
  </si>
  <si>
    <t>MCC - Cabinet LED Lighting</t>
  </si>
  <si>
    <t>MCC - Cabinet - Section (Left)</t>
  </si>
  <si>
    <t>MCC - Cabinet - Section (Right)</t>
  </si>
  <si>
    <t>MCC - Cabinet - Section (Middle)</t>
  </si>
  <si>
    <t>MCC - Cabinet - Section Barrier Plate</t>
  </si>
  <si>
    <t>MCC - Back Panel - Section (Left / Right)</t>
  </si>
  <si>
    <t>MCC - Back Panel - Section (Middle)</t>
  </si>
  <si>
    <t>MCC - Cabinet - Disconnect Coverplate</t>
  </si>
  <si>
    <t>Mill - CC1 - Cabinet</t>
  </si>
  <si>
    <t>Mill - CC1 - Back Panel</t>
  </si>
  <si>
    <t>CC2</t>
  </si>
  <si>
    <t>HYD - CC2 - Cabinet</t>
  </si>
  <si>
    <t>HYD - CC2 - Back Panel</t>
  </si>
  <si>
    <t>OS1 - Cabinet</t>
  </si>
  <si>
    <t>OS1 - Back Panel</t>
  </si>
  <si>
    <t>MCC - Top / Btm Roll Drive - Mains Feed Starter - Contactor to Contactor Linking Busbar (OR Lugs)
MCC - 480V Distribution - Mains Feed Starter - Contactor to Contactor Linking Busbar (OR Lugs)</t>
  </si>
  <si>
    <t>PX20441</t>
  </si>
  <si>
    <t>PX20541</t>
  </si>
  <si>
    <t>Mill - Status Light</t>
  </si>
  <si>
    <t>MCC - Top / Btm Roll Drive - HIM Display</t>
  </si>
  <si>
    <t>MCC - Door - Top / Btm Roll Drive - HIM Panel Mounted Display</t>
  </si>
  <si>
    <t>PT08605</t>
  </si>
  <si>
    <t>PT08611</t>
  </si>
  <si>
    <t>PT08617</t>
  </si>
  <si>
    <t>PT08623</t>
  </si>
  <si>
    <t>PT20447</t>
  </si>
  <si>
    <t>PT20547</t>
  </si>
  <si>
    <t>PT20647</t>
  </si>
  <si>
    <t>LDT08406</t>
  </si>
  <si>
    <t>LDT08418</t>
  </si>
  <si>
    <t>CR07504</t>
  </si>
  <si>
    <t>CR07507</t>
  </si>
  <si>
    <t>CR07510</t>
  </si>
  <si>
    <t>CR07513</t>
  </si>
  <si>
    <t>CR07534</t>
  </si>
  <si>
    <t>CR07537</t>
  </si>
  <si>
    <t>CR07540</t>
  </si>
  <si>
    <t>CR07543</t>
  </si>
  <si>
    <t>CR07546</t>
  </si>
  <si>
    <t>CR07549</t>
  </si>
  <si>
    <t>CR07552</t>
  </si>
  <si>
    <t>CR07555</t>
  </si>
  <si>
    <t>LC08206</t>
  </si>
  <si>
    <t>LC08218</t>
  </si>
  <si>
    <t>Notes
(I/O Signal Type, Functional Logic, etc.)</t>
  </si>
  <si>
    <t>RR1</t>
  </si>
  <si>
    <t>I/O Point(s)</t>
  </si>
  <si>
    <t>(Defaults to Master Equipment List Description, but can be edited here per tag)
(create a button / code to re-sync the descriptions to match the master list???)</t>
  </si>
  <si>
    <t>Main Tag</t>
  </si>
  <si>
    <t>PLC</t>
  </si>
  <si>
    <t>RR2</t>
  </si>
  <si>
    <t>RR3</t>
  </si>
  <si>
    <t>PLC05000</t>
  </si>
  <si>
    <t>RR06000</t>
  </si>
  <si>
    <t>RR09000</t>
  </si>
  <si>
    <t>Main Controllers</t>
  </si>
  <si>
    <t>Controller Description</t>
  </si>
  <si>
    <t>Controller Location</t>
  </si>
  <si>
    <t>I:3/5</t>
  </si>
  <si>
    <t>IN0</t>
  </si>
  <si>
    <t>Mill - Top / Btm Roll - 300HP DC Motors</t>
  </si>
  <si>
    <t>(ITEM 99 - notes that the overload relays come with these)</t>
  </si>
  <si>
    <t>OS1 - Pushbutton - Line Start - Light (Green) + Base + 1 N.O. Contact</t>
  </si>
  <si>
    <t>OS1 - Pushbutton - E-Stop - Light (Red) + Base + 1 N.O. / 2 N.C. Contacts</t>
  </si>
  <si>
    <t>OS1 - Pushbutton - Control Power On - Light (White) + Base + 1 N.O. Contact</t>
  </si>
  <si>
    <t>OS1 - Pushbutton - Line Stop - Base + N.O. Contact
OS1 - Pushbutton - Reset - Base + N.O. Contact</t>
  </si>
  <si>
    <t>PS07140, PS07143, PS07146</t>
  </si>
  <si>
    <t>PNU - Main Shutoff / Filter / Regulator - Analog Pressure Sensor
PNU - Top / Btm Roll Wipers - Pressure Regulator - Analog Pressure Sensor</t>
  </si>
  <si>
    <t>These are included WITH the wiper pressure regulators and the main pneumatic shutoff / filter / regulator unit.</t>
  </si>
  <si>
    <t>SPAU-P10R-MS6-F-L-PNLK-PNVBA-M12D</t>
  </si>
  <si>
    <t>PS07140</t>
  </si>
  <si>
    <t>PS07143</t>
  </si>
  <si>
    <t>PS07146</t>
  </si>
  <si>
    <t>(300HP, 5010AY Frame, DC Motor)</t>
  </si>
  <si>
    <t>GENERAL ELECTRIC</t>
  </si>
  <si>
    <t>MST04552 (193-EIO-63-24D)</t>
  </si>
  <si>
    <t>MST04555 (193-EIO-63-24D)</t>
  </si>
  <si>
    <t>MST24512 (193-EIO-63-24D)</t>
  </si>
  <si>
    <t>MST24515 (193-EIO-63-24D)</t>
  </si>
  <si>
    <t>IN1</t>
  </si>
  <si>
    <t>I:3/1
I:3/2
O:5/7</t>
  </si>
  <si>
    <t>I:3/3
I:3/4
O:5/7</t>
  </si>
  <si>
    <t>I:5/3
I:5/4
O:11/0</t>
  </si>
  <si>
    <t>I:2/4
I:2/5
O:3/3</t>
  </si>
  <si>
    <t>SO:2/2</t>
  </si>
  <si>
    <t>SO:2/3</t>
  </si>
  <si>
    <t>MCC - Mill CC1 24V Power Control - Safety Contactor (9A)</t>
  </si>
  <si>
    <t>MCC - MCC Starter 120V Power Control - Safety Contactor (9A)</t>
  </si>
  <si>
    <t>SI:1/2
O:3/0</t>
  </si>
  <si>
    <t>SI:1/0
SI:1/1
I:3/0
O:5/0</t>
  </si>
  <si>
    <t>ECB Tripped (N.O.)
Current Over 80% Threshold (N.O.)
ECB RESET</t>
  </si>
  <si>
    <t>MCC ESTOP:
ESTOP Safety Channel A (N.C.)
ESTOP Safety Channel B (N.C.)
ESTOP Pressed (N.O.)
ESTOP Light</t>
  </si>
  <si>
    <t>Operator Station ESTOP:
ESTOP Safety Channel A (N.C.)
ESTOP Safety Channel B (N.C.)
ESTOP Pressed (N.O.)
ESTOP Light</t>
  </si>
  <si>
    <t>Line Start Pusbutton:
Button Pressed (N.O.)
Button Light</t>
  </si>
  <si>
    <t>Control Power On Pusbutton:
Button Pressed (N.O.)
Button Light</t>
  </si>
  <si>
    <t>OS1 - Pushbutton - Line Stop - Base + N.O. Contact</t>
  </si>
  <si>
    <t>OS1 - Pushbutton - Reset - Base + N.O. Contact</t>
  </si>
  <si>
    <t>Line Start Pusbutton:
Button Pressed (N.O.)</t>
  </si>
  <si>
    <t>Reset Pusbutton:
Button Pressed (N.O.)</t>
  </si>
  <si>
    <t>SI:1/0
SI:1/1
I:2/3
O:3/2</t>
  </si>
  <si>
    <t>I:2/0
O:3/1</t>
  </si>
  <si>
    <t>I:2/1</t>
  </si>
  <si>
    <t>I:2/2</t>
  </si>
  <si>
    <t>AI:2/0+</t>
  </si>
  <si>
    <t>AI:2/2+</t>
  </si>
  <si>
    <t>AI:2/1+</t>
  </si>
  <si>
    <t>Top Roll Temp (4-20mA)</t>
  </si>
  <si>
    <t>AI:2/3+</t>
  </si>
  <si>
    <t>AI:2/4+</t>
  </si>
  <si>
    <t>Pneumatic Feed Pressure (4-20mA)</t>
  </si>
  <si>
    <t>Top Roll Wiper Pressure (4-20mA)</t>
  </si>
  <si>
    <t>Btm Roll Wiper Pressure (4-20mA)</t>
  </si>
  <si>
    <t>I:4/0</t>
  </si>
  <si>
    <t>I:4/2</t>
  </si>
  <si>
    <t>I:4/1</t>
  </si>
  <si>
    <t>I:4/3</t>
  </si>
  <si>
    <t>I:4/4</t>
  </si>
  <si>
    <t>I:4/5</t>
  </si>
  <si>
    <t>I:4/6</t>
  </si>
  <si>
    <t>I:4/7</t>
  </si>
  <si>
    <t>DR Upper Limit (N.O.)</t>
  </si>
  <si>
    <t>OP Upper Limit (N.O.)</t>
  </si>
  <si>
    <t>Entry Apron (Crash Detection) (N.O.)</t>
  </si>
  <si>
    <t>Exit Apron (Crash Detection) (N.O.)</t>
  </si>
  <si>
    <t>Entry Part Present (N.O.)</t>
  </si>
  <si>
    <t>Exit Part Present (N.O.)</t>
  </si>
  <si>
    <t>I:6/3</t>
  </si>
  <si>
    <t>Top Roll Wiper Pressure Retracted (N.O.)</t>
  </si>
  <si>
    <t>Btm Roll Wiper Pressure Retracted (N.O.)</t>
  </si>
  <si>
    <t>Top Roll Wiper Pivot Retracted (Up) (N.O.)</t>
  </si>
  <si>
    <t>Top Roll Wiper Pivot Extended (Down) (N.O.)</t>
  </si>
  <si>
    <t>I:6/4</t>
  </si>
  <si>
    <t>I:6/5</t>
  </si>
  <si>
    <t>I:6/6</t>
  </si>
  <si>
    <t>Btm Roll Wiper Pivot Retracted (Up) (N.O.)</t>
  </si>
  <si>
    <t>Btm Roll Wiper Pivot Extended (Down) (N.O.)</t>
  </si>
  <si>
    <t>I:6/7</t>
  </si>
  <si>
    <t>DR Cylinder Pressure Feed Ball Valve Open (Flowing) (N.O.)</t>
  </si>
  <si>
    <t>DR Cylinder Tank Return Ball Valve Open (Flowing) (N.O.)</t>
  </si>
  <si>
    <t>I:7/0</t>
  </si>
  <si>
    <t>I:7/2</t>
  </si>
  <si>
    <t>I:7/1</t>
  </si>
  <si>
    <t>OP Cylinder Pressure Feed Ball Valve Open (Flowing) (N.O.)</t>
  </si>
  <si>
    <t>OP Cylinder Tank Return Ball Valve Open (Flowing) (N.O.)</t>
  </si>
  <si>
    <t>Main Control Cabinet (MCC) - Remote Rack</t>
  </si>
  <si>
    <t>Main Control Cabinet (MCC) - Main PLC</t>
  </si>
  <si>
    <t>Operator Station (OS1) Remote Rack</t>
  </si>
  <si>
    <t>Mill, Control Cabinet (CC1) - Mill Remote Rack</t>
  </si>
  <si>
    <t>Mill, Control Cabinet (CC1) - Delta Servo controller</t>
  </si>
  <si>
    <t>Hydraulic Power Unit, Control Cabinet (CC2)</t>
  </si>
  <si>
    <t>O:9/0</t>
  </si>
  <si>
    <t>O:9/1</t>
  </si>
  <si>
    <t>O:9/2</t>
  </si>
  <si>
    <t>O:9/3</t>
  </si>
  <si>
    <t>O:10/0</t>
  </si>
  <si>
    <t>O:10/1</t>
  </si>
  <si>
    <t>O:10/2</t>
  </si>
  <si>
    <t>O:10/3</t>
  </si>
  <si>
    <t>O:10/4</t>
  </si>
  <si>
    <t>O:10/5</t>
  </si>
  <si>
    <t>O:10/6</t>
  </si>
  <si>
    <t>O:10/7</t>
  </si>
  <si>
    <t>Pilot Relay for Solenoid Valve - Top Roll Wiper Pressure Extend</t>
  </si>
  <si>
    <t>Pilot Relay for Solenoid Valve - Top Roll Wiper Pressure Retract</t>
  </si>
  <si>
    <t>Pilot Relay for Solenoid Valve - Btm Roll Wiper Pressure Extend</t>
  </si>
  <si>
    <t>Pilot Relay for Solenoid Valve - Btm Roll Wiper Pressure Retract</t>
  </si>
  <si>
    <t>Pilot Relay for Solenoid Valve - Top Roll Wiper Pivot In</t>
  </si>
  <si>
    <t>Pilot Relay for Solenoid Valve - Top Roll Wiper Pivot Out</t>
  </si>
  <si>
    <t>Pilot Relay for Solenoid Valve - Btm Roll Wiper Pivot In</t>
  </si>
  <si>
    <t>Pilot Relay for Solenoid Valve - Btm Roll Wiper Pivot Out</t>
  </si>
  <si>
    <t>Pilot Relay for Solenoid Valve - DR Accumulator Pressure Dump</t>
  </si>
  <si>
    <t>Pilot Relay for Solenoid Valve - OP Accumulator Pressure Dump</t>
  </si>
  <si>
    <t>Pilot Relay for Solenoid Valve - DR Cylinder Locking Checks</t>
  </si>
  <si>
    <t>Pilot Relay for Solenoid Valve - OP Cylinder Locking Checks</t>
  </si>
  <si>
    <t>Safety Contactor - Motor Contactors Control Power (Channel A)</t>
  </si>
  <si>
    <t>Safety Contactor - Motor Contactors Control Power (Channel B)</t>
  </si>
  <si>
    <t>O:9/4
O:9/5
O:9/6
O:9/7</t>
  </si>
  <si>
    <t>Mill Status Lights:
Red (On/Off)
Green (On/Off)
White (On/Off)
Blue (On/Off)</t>
  </si>
  <si>
    <t>I:5/5
I:5/6
O:11/0</t>
  </si>
  <si>
    <t>I:5/7
I:6/0
O:11/0</t>
  </si>
  <si>
    <t>I:6/1
I:6/2
O:11/0</t>
  </si>
  <si>
    <t>SI:1/0
SI:1/1
I:5/0
I:7/3
O:11/1</t>
  </si>
  <si>
    <t>SI:1/0
SI:1/1
I:5/1
I:7/4
O:11/2</t>
  </si>
  <si>
    <t>SI:1/0
SI:1/1
I:5/2
I:7/5
O:11/3</t>
  </si>
  <si>
    <t>Entry Perimeter Fencing Interlock:
Gate Safety Channel A (N.C.)
Gate Safety Channel B (N.C.)
Gate Opened (N.O.)
Gate Locked (N.O.)
Lock Gate Solenoid</t>
  </si>
  <si>
    <t>Drive Perimeter Fencing Interlock:
Gate Safety Channel A (N.C.)
Gate Safety Channel B (N.C.)
Gate Opened (N.O.)
Gate Locked (N.O.)
Lock Gate Solenoid</t>
  </si>
  <si>
    <t>Exit Perimeter Fencing Interlock:
Gate Safety Channel A (N.C.)
Gate Safety Channel B (N.C.)
Gate Opened (N.O.)
Gate Locked (N.O.)
Lock Gate Solenoid</t>
  </si>
  <si>
    <t>RMC</t>
  </si>
  <si>
    <t>MCC
CC1</t>
  </si>
  <si>
    <t>RR1
RMC</t>
  </si>
  <si>
    <t>SO:2/0
DIN0+</t>
  </si>
  <si>
    <t>SO:2/1
DIN0+</t>
  </si>
  <si>
    <t>Safety Contactor - 24V Control Power (Channel B)
Servo Control Power / Safety Enable</t>
  </si>
  <si>
    <t>Safety Contactor - 24V Control Power (Channel A)
Servo Control Power / Safety Enable</t>
  </si>
  <si>
    <t>Main Cylinder Manifolds</t>
  </si>
  <si>
    <t>PS07143, PS07146</t>
  </si>
  <si>
    <t>W/ Integrated pressure sensor / display unit (FESTO 8074906)</t>
  </si>
  <si>
    <t>Pressure Regulator
W/ Integrated pressure sensor / display unit (FESTO 8074906)</t>
  </si>
  <si>
    <t>Main Shutoff / Filter / Regulator
W/ Integrated pressure sensor / display unit (FESTO 8074906)</t>
  </si>
  <si>
    <t>PVLV08105, PVLV08119</t>
  </si>
  <si>
    <t>PS20439, PS20539, PS20639</t>
  </si>
  <si>
    <t>SOL05415, SOL05417</t>
  </si>
  <si>
    <t>SOL05411, SOL05413, SOL05441, SOL05443</t>
  </si>
  <si>
    <t>MTR20716, MTR20816</t>
  </si>
  <si>
    <t>MTR20416, MTR20516</t>
  </si>
  <si>
    <t>MTR20616</t>
  </si>
  <si>
    <t>PVLV08105</t>
  </si>
  <si>
    <t>PVLV08119</t>
  </si>
  <si>
    <t>PS20439</t>
  </si>
  <si>
    <t>PS20539</t>
  </si>
  <si>
    <t>PS20639</t>
  </si>
  <si>
    <t>DR Cylinder Pump Filter Dirty (N.O.)</t>
  </si>
  <si>
    <t>OP Cylinder Pump Filter Dirty (N.O.)</t>
  </si>
  <si>
    <t>Kidney Loop Pump Filter Dirty (N.O.)</t>
  </si>
  <si>
    <t>MST24503 (193-EIO-63-24D)</t>
  </si>
  <si>
    <t>MST24506 (193-EIO-63-24D)</t>
  </si>
  <si>
    <t>MST24509 (193-EIO-63-24D)</t>
  </si>
  <si>
    <t>Slot 2 - CTL Out 0
Slot 2 - Cmn 0</t>
  </si>
  <si>
    <t>Slot 2 - CTL Out 1
Slot 2 - Cmn 1</t>
  </si>
  <si>
    <t>DR Cylinder Proportional Valve Command +
DR Cylinder Proportional Valve Command -</t>
  </si>
  <si>
    <t>OP Cylinder Proportional Valve Command +
OP Cylinder Proportional Valve Command -</t>
  </si>
  <si>
    <t>Slot 3 - +EXCA
Slot 3 - -EXCA
Slot 3 - IN0+
Slot 3 - -IN0-</t>
  </si>
  <si>
    <t>Slot 3 - +EXCA
Slot 3 - -EXCA
Slot 3 - IN1+
Slot 3 - -IN1-</t>
  </si>
  <si>
    <t>I:3/6</t>
  </si>
  <si>
    <t>MCC Air Conditioner Temp Alarm (N.O.)</t>
  </si>
  <si>
    <t>OP Load Cell Signal:
Gauge+
Gauge-
Signal+
Signal-</t>
  </si>
  <si>
    <t>DR Load Cell Signal:
Gauge+
Gauge-
Signal+
Signal-</t>
  </si>
  <si>
    <t>IN2
IN3
IN4</t>
  </si>
  <si>
    <t>Tank Temp High Alarm (N.O.) (&gt;140°F)
tank Temp High Warning (N.O.) (&gt;120°F)
Tank Level Low Alarm (N.O.) (&lt;10in, Total Tank height = 17in)</t>
  </si>
  <si>
    <t>MST24509 (193-EXP-AIO-31)</t>
  </si>
  <si>
    <t>MST24509 (193-EIO-63-24D)
MST24509 (193-EXP-AIO-31)</t>
  </si>
  <si>
    <t>IN5
IN0+
IN0-</t>
  </si>
  <si>
    <t>IN1+
IN1-</t>
  </si>
  <si>
    <t>Tank Fluid Temp (4-20mA)
Tank Fluid Temp (0V/CMN)</t>
  </si>
  <si>
    <t>Kidney Loop Pump On (N.O.)</t>
  </si>
  <si>
    <t>DR Cylinder Pump On (N.O.)</t>
  </si>
  <si>
    <t>OP Cylinder Pump On (N.O.)</t>
  </si>
  <si>
    <t>IN1
IN2
R14</t>
  </si>
  <si>
    <t>IN3
IN4
R14</t>
  </si>
  <si>
    <t>[I / O]:[Card]/[Point]
[I / O] = Digital
A[I / O] = Analaog
S[I / O] = Safety</t>
  </si>
  <si>
    <t>HYD - Kidney Loop Fan 2 - Motor Starter - Contactor (9A)</t>
  </si>
  <si>
    <t>HYD - Kidney Loop Fan 1 - Motor Starter - Contactor (9A)</t>
  </si>
  <si>
    <t>MCC - Top Roll Motor - Blower Motor Starters - Contactor (9A)</t>
  </si>
  <si>
    <t>MCC - Btm Roll Motor - Blower Motor Starters - Contactor (9A)</t>
  </si>
  <si>
    <t>Top Roll Motor Blower On (N.O.)</t>
  </si>
  <si>
    <t>Btm Roll Motor Blower On (N.O.)</t>
  </si>
  <si>
    <t>Heat Exchanger Fan 2 On (N.O.)</t>
  </si>
  <si>
    <t>Heat Exchanger Fan 1 On (N.O.)
Starter Relay Power - Jumper to A1 (24V) Terminal</t>
  </si>
  <si>
    <t>IN0
R13</t>
  </si>
  <si>
    <t>MST24503 (193-EIO-63-24D)
MST24503 (193-EXP-AIO-31)</t>
  </si>
  <si>
    <t>MST24506 (193-EIO-63-24D)
MST24506 (193-EXP-AIO-31)</t>
  </si>
  <si>
    <t>IN2</t>
  </si>
  <si>
    <t>DR Cylinder Pump Ball Valve Open (Flowing) (N.O.)</t>
  </si>
  <si>
    <t>OP Cylinder Pump Ball Valve Open (Flowing) (N.O.)</t>
  </si>
  <si>
    <t>Slot 5 - IN0+MA
Slot 5 - IN0-</t>
  </si>
  <si>
    <t>Slot 5 - IN1+MA
Slot 5 - IN1-</t>
  </si>
  <si>
    <t>Slot 5 - IN2+MA
Slot 5 - IN2-</t>
  </si>
  <si>
    <t>Slot 5 - IN3+MA
Slot 5 - IN3-</t>
  </si>
  <si>
    <t>OP Cylinder Rod Pressure (4-20mA)</t>
  </si>
  <si>
    <t>OP Cylinder Cap Pressure (4-20mA)</t>
  </si>
  <si>
    <t>DR Cylinder Cap Pressure (4-20mA)</t>
  </si>
  <si>
    <t>DR Cylinder Rod Pressure (4-20mA)</t>
  </si>
  <si>
    <t xml:space="preserve">DR Cylinder Pump Output:
Pressure On/OK (N.O.)
Pressure (4-20mA)
Pressure (0V / CMN)
</t>
  </si>
  <si>
    <t xml:space="preserve">OP Cylinder Pump Output:
Pressure On/OK (N.O.)
Pressure (4-20mA)
Pressure (0V / CMN)
</t>
  </si>
  <si>
    <t xml:space="preserve">Kidney Loop Pump Output:
Pressure On/OK (N.O.)
Pressure (4-20mA)
Pressure (0V / CMN)
</t>
  </si>
  <si>
    <t>MCC - 24V Distribution - Electronic Circuit Breakers</t>
  </si>
  <si>
    <t>CC1 - 24V Distribution - Electronic Circuit Breakers</t>
  </si>
  <si>
    <t>OS1 - 24V Distribution - Electronic Circuit Breakers</t>
  </si>
  <si>
    <t>CC2 - 24V Distribution - Electronic Circuit Breakers</t>
  </si>
  <si>
    <t>Slot 4 - +CLK0
Slot 4 - -CLK0
Slot 4 - +DAT0
Slot 4 - -DAT0</t>
  </si>
  <si>
    <t>Slot 4 - +CLK1
Slot 4 - -CLK1
Slot 4 - +DAT1
Slot 4 - -DAT1</t>
  </si>
  <si>
    <t>Mill DR Position (SSI)</t>
  </si>
  <si>
    <t>Mill OP Position (SSI)</t>
  </si>
  <si>
    <t>Surge Protector Tripped (N.O.)</t>
  </si>
  <si>
    <t>MCC - 24V Distribution - Electronic Circuit Breakers
OS1 - 24V Distribution - Electronic Circuit Breakers
CC1 - 24V Distribution - Electronic Circuit Breakers
HYD - 24V Distribution - Electronic Circuit Breakers</t>
  </si>
  <si>
    <t>MTR01145, MTR01245</t>
  </si>
  <si>
    <t>MTR01145</t>
  </si>
  <si>
    <t>MTR01245</t>
  </si>
  <si>
    <t>Motor Commutator Thermostat Alarm (N.O.)</t>
  </si>
  <si>
    <t>NOTE: Multiple tags must be seperated with a comma and a space ", "</t>
  </si>
  <si>
    <t>Company</t>
  </si>
  <si>
    <t>C:\(Project Folder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</si>
</sst>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8"/>
      <name val="Aptos Narrow"/>
      <family val="2"/>
      <scheme val="minor"/>
    </font>
    <font>
      <sz val="11"/>
      <color rgb="FF000000"/>
      <name val="Aptos Narrow"/>
      <family val="2"/>
    </font>
  </fonts>
  <fills count="4">
    <fill>
      <patternFill patternType="none"/>
    </fill>
    <fill>
      <patternFill patternType="gray125"/>
    </fill>
    <fill>
      <patternFill patternType="solid">
        <fgColor theme="4"/>
        <bgColor indexed="64"/>
      </patternFill>
    </fill>
    <fill>
      <patternFill patternType="solid">
        <fgColor rgb="FFE6E6E6"/>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3">
    <xf numFmtId="0" fontId="0" fillId="0" borderId="0" xfId="0"/>
    <xf numFmtId="0" fontId="0" fillId="0" borderId="0" xfId="0" applyAlignment="1">
      <alignment horizontal="center" vertical="center" wrapText="1"/>
    </xf>
    <xf numFmtId="49" fontId="4" fillId="0" borderId="0" xfId="0" applyNumberFormat="1" applyFont="1" applyAlignment="1">
      <alignment horizontal="center" vertical="center" wrapText="1"/>
    </xf>
    <xf numFmtId="0" fontId="0" fillId="0" borderId="0" xfId="0" applyAlignment="1">
      <alignment vertical="center" wrapText="1"/>
    </xf>
    <xf numFmtId="0" fontId="0" fillId="0" borderId="0" xfId="0" applyAlignment="1">
      <alignment vertical="center"/>
    </xf>
    <xf numFmtId="0" fontId="0" fillId="0" borderId="4" xfId="0" applyBorder="1"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left" vertical="center" wrapText="1"/>
    </xf>
    <xf numFmtId="0" fontId="0" fillId="0" borderId="0" xfId="0" applyAlignment="1">
      <alignment wrapText="1"/>
    </xf>
    <xf numFmtId="0" fontId="0" fillId="0" borderId="12" xfId="0" applyBorder="1" applyAlignment="1">
      <alignment horizontal="center" vertical="center" wrapText="1"/>
    </xf>
    <xf numFmtId="1" fontId="0" fillId="0" borderId="9" xfId="0" applyNumberFormat="1" applyBorder="1" applyAlignment="1">
      <alignment horizontal="center" vertical="center" wrapText="1"/>
    </xf>
    <xf numFmtId="1" fontId="0" fillId="0" borderId="0" xfId="0" applyNumberFormat="1" applyAlignment="1">
      <alignment horizontal="center" vertical="center" wrapText="1"/>
    </xf>
    <xf numFmtId="1" fontId="0" fillId="0" borderId="10" xfId="0" applyNumberFormat="1" applyBorder="1" applyAlignment="1">
      <alignment horizontal="center" vertical="center" wrapText="1"/>
    </xf>
    <xf numFmtId="2" fontId="0" fillId="0" borderId="10" xfId="0" applyNumberFormat="1" applyBorder="1" applyAlignment="1">
      <alignment horizontal="center" vertical="center" wrapText="1"/>
    </xf>
    <xf numFmtId="0" fontId="0" fillId="0" borderId="13" xfId="0" applyBorder="1" applyAlignment="1">
      <alignment horizontal="center" vertical="center" wrapText="1"/>
    </xf>
    <xf numFmtId="2" fontId="0" fillId="0" borderId="0" xfId="0" applyNumberFormat="1" applyAlignment="1">
      <alignment horizontal="center" vertical="center" wrapText="1"/>
    </xf>
    <xf numFmtId="1" fontId="0" fillId="0" borderId="6" xfId="0" applyNumberFormat="1" applyBorder="1" applyAlignment="1">
      <alignment horizontal="center" vertical="center" wrapText="1"/>
    </xf>
    <xf numFmtId="0" fontId="0" fillId="0" borderId="11" xfId="0" applyBorder="1" applyAlignment="1">
      <alignment horizontal="center" vertical="center" wrapText="1"/>
    </xf>
    <xf numFmtId="2" fontId="0" fillId="0" borderId="7" xfId="0" applyNumberFormat="1" applyBorder="1" applyAlignment="1">
      <alignment horizontal="center" vertical="center" wrapText="1"/>
    </xf>
    <xf numFmtId="2" fontId="0" fillId="0" borderId="11" xfId="0" applyNumberFormat="1" applyBorder="1" applyAlignment="1">
      <alignment horizontal="center" vertical="center" wrapText="1"/>
    </xf>
    <xf numFmtId="0" fontId="0" fillId="0" borderId="14" xfId="0" applyBorder="1" applyAlignment="1">
      <alignment horizontal="center" vertical="center" wrapText="1"/>
    </xf>
    <xf numFmtId="0" fontId="2" fillId="0" borderId="4" xfId="0" applyFont="1" applyBorder="1" applyAlignment="1">
      <alignment horizontal="center" vertical="center" wrapText="1"/>
    </xf>
    <xf numFmtId="0" fontId="2" fillId="0" borderId="9" xfId="0" applyFont="1" applyBorder="1" applyAlignment="1">
      <alignment horizontal="center" vertical="center" wrapText="1"/>
    </xf>
    <xf numFmtId="0" fontId="0" fillId="0" borderId="10" xfId="0" applyBorder="1" applyAlignment="1">
      <alignment horizontal="center" vertical="center" wrapText="1"/>
    </xf>
    <xf numFmtId="0" fontId="2" fillId="0" borderId="6" xfId="0" applyFont="1" applyBorder="1" applyAlignment="1">
      <alignment horizontal="center" vertical="center" wrapText="1"/>
    </xf>
    <xf numFmtId="0" fontId="0" fillId="0" borderId="7" xfId="0"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0" fillId="0" borderId="0" xfId="0" applyAlignment="1" applyProtection="1">
      <alignment horizontal="center" vertical="center" wrapText="1"/>
      <protection locked="0"/>
    </xf>
    <xf numFmtId="0" fontId="1" fillId="2" borderId="12" xfId="0" applyFont="1" applyFill="1" applyBorder="1" applyAlignment="1">
      <alignment horizontal="center" vertical="center" wrapText="1"/>
    </xf>
    <xf numFmtId="0" fontId="0" fillId="0" borderId="0" xfId="0" applyAlignment="1">
      <alignment horizontal="left" vertical="center"/>
    </xf>
    <xf numFmtId="0" fontId="0" fillId="0" borderId="15" xfId="0" applyBorder="1" applyAlignment="1">
      <alignment horizontal="center" vertical="center" wrapText="1"/>
    </xf>
    <xf numFmtId="49" fontId="4" fillId="0" borderId="0" xfId="0" applyNumberFormat="1"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vertical="center" wrapText="1"/>
      <protection locked="0"/>
    </xf>
    <xf numFmtId="49" fontId="4" fillId="0" borderId="16" xfId="0" applyNumberFormat="1" applyFont="1" applyBorder="1" applyAlignment="1" applyProtection="1">
      <alignment horizontal="center" vertical="center" wrapText="1"/>
      <protection locked="0"/>
    </xf>
    <xf numFmtId="0" fontId="0" fillId="0" borderId="17" xfId="0" applyBorder="1" applyAlignment="1">
      <alignment horizontal="center" vertical="center" wrapText="1"/>
    </xf>
    <xf numFmtId="1" fontId="0" fillId="0" borderId="0" xfId="0" applyNumberFormat="1" applyAlignment="1" applyProtection="1">
      <alignment horizontal="center" vertical="center" wrapText="1"/>
      <protection locked="0"/>
    </xf>
    <xf numFmtId="0" fontId="2" fillId="0" borderId="14" xfId="0" applyFont="1" applyBorder="1" applyAlignment="1" applyProtection="1">
      <alignment horizontal="center" vertical="center" wrapText="1"/>
      <protection locked="0"/>
    </xf>
    <xf numFmtId="0" fontId="1" fillId="2" borderId="18" xfId="0" applyFont="1" applyFill="1" applyBorder="1" applyAlignment="1">
      <alignment vertical="center" wrapText="1"/>
    </xf>
    <xf numFmtId="0" fontId="3" fillId="0" borderId="0" xfId="0" applyFont="1" applyAlignment="1">
      <alignment horizontal="center" vertical="center" wrapText="1"/>
    </xf>
    <xf numFmtId="0" fontId="1" fillId="0" borderId="0" xfId="0" applyFont="1" applyAlignment="1">
      <alignment horizontal="right" vertical="center" wrapText="1"/>
    </xf>
    <xf numFmtId="0" fontId="2" fillId="0" borderId="0" xfId="0" applyFont="1" applyAlignment="1">
      <alignment horizontal="center" vertical="center" wrapText="1"/>
    </xf>
    <xf numFmtId="0" fontId="1" fillId="2" borderId="12" xfId="0" applyFont="1" applyFill="1" applyBorder="1" applyAlignment="1">
      <alignment horizontal="right" vertical="center" wrapText="1"/>
    </xf>
    <xf numFmtId="0" fontId="1" fillId="2" borderId="13" xfId="0" applyFont="1" applyFill="1" applyBorder="1" applyAlignment="1">
      <alignment horizontal="right" vertical="center" wrapText="1"/>
    </xf>
    <xf numFmtId="0" fontId="1" fillId="2" borderId="14" xfId="0" applyFont="1" applyFill="1" applyBorder="1" applyAlignment="1">
      <alignment horizontal="right"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 fillId="0" borderId="0" xfId="0" applyFont="1" applyAlignment="1">
      <alignment vertical="center" wrapText="1"/>
    </xf>
    <xf numFmtId="0" fontId="2" fillId="0" borderId="13" xfId="0" applyFont="1" applyBorder="1" applyAlignment="1">
      <alignment horizontal="center" vertical="center" wrapText="1"/>
    </xf>
    <xf numFmtId="49" fontId="2" fillId="0" borderId="0" xfId="0" applyNumberFormat="1" applyFont="1" applyAlignment="1">
      <alignment vertical="center" wrapText="1"/>
    </xf>
    <xf numFmtId="1" fontId="2" fillId="0" borderId="13" xfId="0" applyNumberFormat="1" applyFont="1" applyBorder="1" applyAlignment="1">
      <alignment horizontal="center" vertical="center" wrapText="1"/>
    </xf>
    <xf numFmtId="1" fontId="2" fillId="0" borderId="14" xfId="0" applyNumberFormat="1" applyFont="1" applyBorder="1" applyAlignment="1">
      <alignment horizontal="center" vertical="center" wrapText="1"/>
    </xf>
    <xf numFmtId="14" fontId="2" fillId="0" borderId="0" xfId="0" applyNumberFormat="1" applyFont="1" applyAlignment="1">
      <alignment vertical="center" wrapText="1"/>
    </xf>
    <xf numFmtId="2" fontId="0" fillId="0" borderId="0" xfId="0" applyNumberFormat="1" applyAlignment="1" applyProtection="1">
      <alignment horizontal="center" vertical="center" wrapText="1"/>
      <protection locked="0"/>
    </xf>
    <xf numFmtId="0" fontId="0" fillId="0" borderId="0" xfId="0" applyAlignment="1" applyProtection="1">
      <alignment horizontal="left" vertical="center" wrapText="1"/>
      <protection locked="0"/>
    </xf>
    <xf numFmtId="0" fontId="1" fillId="0" borderId="0" xfId="0" applyFont="1" applyAlignment="1">
      <alignment vertical="center"/>
    </xf>
    <xf numFmtId="49" fontId="2" fillId="0" borderId="0" xfId="0" applyNumberFormat="1" applyFont="1" applyAlignment="1">
      <alignment vertical="center"/>
    </xf>
    <xf numFmtId="14" fontId="2" fillId="0" borderId="0" xfId="0" applyNumberFormat="1" applyFont="1" applyAlignment="1">
      <alignment vertical="center"/>
    </xf>
    <xf numFmtId="49" fontId="2" fillId="0" borderId="12" xfId="0" applyNumberFormat="1" applyFont="1" applyBorder="1" applyAlignment="1">
      <alignment horizontal="left" vertical="center"/>
    </xf>
    <xf numFmtId="49" fontId="2" fillId="0" borderId="13" xfId="0" applyNumberFormat="1" applyFont="1" applyBorder="1" applyAlignment="1">
      <alignment horizontal="left" vertical="center"/>
    </xf>
    <xf numFmtId="14" fontId="2" fillId="0" borderId="14" xfId="0" applyNumberFormat="1" applyFont="1" applyBorder="1" applyAlignment="1">
      <alignment horizontal="left" vertical="center"/>
    </xf>
    <xf numFmtId="0" fontId="4" fillId="0" borderId="9" xfId="0" applyFont="1" applyBorder="1" applyAlignment="1" applyProtection="1">
      <alignment horizontal="center" vertical="center" wrapText="1"/>
      <protection locked="0"/>
    </xf>
    <xf numFmtId="49" fontId="4" fillId="0" borderId="10" xfId="0" applyNumberFormat="1" applyFont="1" applyBorder="1" applyAlignment="1" applyProtection="1">
      <alignment horizontal="center" vertical="center" wrapText="1"/>
      <protection locked="0"/>
    </xf>
    <xf numFmtId="0" fontId="4" fillId="0" borderId="6" xfId="0" applyFont="1" applyBorder="1" applyAlignment="1" applyProtection="1">
      <alignment horizontal="center" vertical="center" wrapText="1"/>
      <protection locked="0"/>
    </xf>
    <xf numFmtId="49" fontId="4" fillId="0" borderId="11" xfId="0" applyNumberFormat="1" applyFont="1" applyBorder="1" applyAlignment="1" applyProtection="1">
      <alignment horizontal="center" vertical="center" wrapText="1"/>
      <protection locked="0"/>
    </xf>
    <xf numFmtId="49" fontId="4" fillId="0" borderId="7" xfId="0" applyNumberFormat="1" applyFont="1"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9" xfId="0" applyFont="1" applyFill="1" applyBorder="1" applyAlignment="1">
      <alignment horizontal="right" vertical="center" wrapText="1"/>
    </xf>
    <xf numFmtId="0" fontId="1" fillId="2" borderId="0" xfId="0" applyFont="1" applyFill="1" applyAlignment="1">
      <alignment horizontal="right" vertical="center" wrapText="1"/>
    </xf>
    <xf numFmtId="49" fontId="2" fillId="0" borderId="0" xfId="0" applyNumberFormat="1" applyFont="1" applyAlignment="1">
      <alignment horizontal="left" vertical="center" wrapText="1"/>
    </xf>
    <xf numFmtId="49" fontId="2" fillId="0" borderId="10" xfId="0" applyNumberFormat="1" applyFont="1" applyBorder="1" applyAlignment="1">
      <alignment horizontal="left" vertical="center" wrapText="1"/>
    </xf>
    <xf numFmtId="0" fontId="1" fillId="2" borderId="6" xfId="0" applyFont="1" applyFill="1" applyBorder="1" applyAlignment="1">
      <alignment horizontal="right" vertical="center" wrapText="1"/>
    </xf>
    <xf numFmtId="0" fontId="1" fillId="2" borderId="11" xfId="0" applyFont="1" applyFill="1" applyBorder="1" applyAlignment="1">
      <alignment horizontal="right" vertical="center" wrapText="1"/>
    </xf>
    <xf numFmtId="14" fontId="2" fillId="0" borderId="11" xfId="0" applyNumberFormat="1" applyFont="1" applyBorder="1" applyAlignment="1">
      <alignment horizontal="left" vertical="center" wrapText="1"/>
    </xf>
    <xf numFmtId="14" fontId="2" fillId="0" borderId="7" xfId="0" applyNumberFormat="1" applyFont="1" applyBorder="1" applyAlignment="1">
      <alignment horizontal="left" vertical="center" wrapText="1"/>
    </xf>
    <xf numFmtId="0" fontId="2" fillId="0" borderId="0" xfId="0" applyFont="1" applyAlignment="1">
      <alignment horizontal="center" vertical="center" wrapText="1"/>
    </xf>
    <xf numFmtId="0" fontId="1" fillId="2" borderId="4" xfId="0" applyFont="1" applyFill="1" applyBorder="1" applyAlignment="1">
      <alignment horizontal="right" vertical="center" wrapText="1"/>
    </xf>
    <xf numFmtId="0" fontId="1" fillId="2" borderId="8" xfId="0" applyFont="1" applyFill="1" applyBorder="1" applyAlignment="1">
      <alignment horizontal="right" vertical="center" wrapText="1"/>
    </xf>
    <xf numFmtId="49" fontId="2" fillId="0" borderId="8" xfId="0" applyNumberFormat="1" applyFont="1" applyBorder="1" applyAlignment="1">
      <alignment horizontal="left" vertical="center" wrapText="1"/>
    </xf>
    <xf numFmtId="49" fontId="2" fillId="0" borderId="5" xfId="0" applyNumberFormat="1" applyFont="1" applyBorder="1" applyAlignment="1">
      <alignment horizontal="left" vertical="center" wrapText="1"/>
    </xf>
    <xf numFmtId="0" fontId="1" fillId="2" borderId="6" xfId="0" applyFont="1" applyFill="1" applyBorder="1" applyAlignment="1">
      <alignment horizontal="right" vertical="center"/>
    </xf>
    <xf numFmtId="0" fontId="1" fillId="2" borderId="11" xfId="0" applyFont="1" applyFill="1" applyBorder="1" applyAlignment="1">
      <alignment horizontal="right" vertical="center"/>
    </xf>
    <xf numFmtId="0" fontId="1" fillId="2" borderId="9" xfId="0" applyFont="1" applyFill="1" applyBorder="1" applyAlignment="1">
      <alignment horizontal="right" vertical="center"/>
    </xf>
    <xf numFmtId="0" fontId="1" fillId="2" borderId="0" xfId="0" applyFont="1" applyFill="1" applyAlignment="1">
      <alignment horizontal="right"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49" fontId="2" fillId="0" borderId="9" xfId="0" applyNumberFormat="1" applyFont="1" applyBorder="1" applyAlignment="1">
      <alignment horizontal="left" vertical="center"/>
    </xf>
    <xf numFmtId="49" fontId="2" fillId="0" borderId="10" xfId="0" applyNumberFormat="1" applyFont="1" applyBorder="1" applyAlignment="1">
      <alignment horizontal="left" vertical="center"/>
    </xf>
    <xf numFmtId="14" fontId="2" fillId="0" borderId="6" xfId="0" applyNumberFormat="1" applyFont="1" applyBorder="1" applyAlignment="1">
      <alignment horizontal="left" vertical="center"/>
    </xf>
    <xf numFmtId="14" fontId="2" fillId="0" borderId="7" xfId="0" applyNumberFormat="1" applyFont="1" applyBorder="1" applyAlignment="1">
      <alignment horizontal="left" vertical="center"/>
    </xf>
    <xf numFmtId="49" fontId="2" fillId="0" borderId="4" xfId="0" applyNumberFormat="1" applyFont="1" applyBorder="1" applyAlignment="1">
      <alignment horizontal="left" vertical="center"/>
    </xf>
    <xf numFmtId="49" fontId="2" fillId="0" borderId="5" xfId="0" applyNumberFormat="1" applyFont="1" applyBorder="1" applyAlignment="1">
      <alignment horizontal="left" vertical="center"/>
    </xf>
    <xf numFmtId="49" fontId="2" fillId="0" borderId="4" xfId="0" applyNumberFormat="1" applyFont="1" applyBorder="1" applyAlignment="1">
      <alignment horizontal="left" vertical="center" wrapText="1"/>
    </xf>
    <xf numFmtId="0" fontId="0" fillId="0" borderId="0" xfId="0" applyAlignment="1">
      <alignment horizontal="center" vertical="center" wrapText="1"/>
    </xf>
    <xf numFmtId="0" fontId="1" fillId="2" borderId="4" xfId="0" applyFont="1" applyFill="1" applyBorder="1" applyAlignment="1">
      <alignment horizontal="center" vertical="center" wrapText="1"/>
    </xf>
    <xf numFmtId="49" fontId="2" fillId="0" borderId="9" xfId="0" applyNumberFormat="1" applyFont="1" applyBorder="1" applyAlignment="1">
      <alignment horizontal="left" vertical="center" wrapText="1"/>
    </xf>
    <xf numFmtId="14" fontId="2" fillId="0" borderId="6" xfId="0" applyNumberFormat="1" applyFont="1" applyBorder="1" applyAlignment="1">
      <alignment horizontal="left" vertical="center" wrapText="1"/>
    </xf>
    <xf numFmtId="0" fontId="0" fillId="0" borderId="0" xfId="0" applyAlignment="1">
      <alignment horizontal="left" vertical="center" wrapText="1"/>
    </xf>
    <xf numFmtId="0" fontId="1" fillId="2" borderId="10" xfId="0" applyFont="1" applyFill="1" applyBorder="1" applyAlignment="1">
      <alignment horizontal="right" vertical="center" wrapText="1"/>
    </xf>
    <xf numFmtId="1" fontId="4" fillId="0" borderId="0" xfId="0" applyNumberFormat="1" applyFont="1" applyAlignment="1" applyProtection="1">
      <alignment horizontal="center" vertical="center" wrapText="1"/>
    </xf>
    <xf numFmtId="0" fontId="4" fillId="0" borderId="0" xfId="0" applyFont="1" applyAlignment="1" applyProtection="1">
      <alignment horizontal="center" vertical="center" wrapText="1"/>
    </xf>
    <xf numFmtId="0" fontId="0" fillId="3" borderId="0" xfId="0" applyFill="1" applyAlignment="1" applyProtection="1">
      <alignment horizontal="center" vertical="center" wrapText="1"/>
    </xf>
    <xf numFmtId="0" fontId="0" fillId="0" borderId="0" xfId="0" applyAlignment="1" applyProtection="1">
      <alignment vertical="center" wrapText="1"/>
    </xf>
    <xf numFmtId="0" fontId="0" fillId="3" borderId="17" xfId="0" applyFill="1" applyBorder="1" applyAlignment="1" applyProtection="1">
      <alignment horizontal="center" vertical="center" wrapText="1"/>
    </xf>
    <xf numFmtId="1" fontId="0" fillId="0" borderId="0" xfId="0" applyNumberFormat="1" applyAlignment="1" applyProtection="1">
      <alignment horizontal="center" vertical="center" wrapText="1"/>
    </xf>
    <xf numFmtId="0" fontId="0" fillId="0" borderId="0" xfId="0" applyAlignment="1" applyProtection="1">
      <alignment horizontal="center" vertical="center" wrapText="1"/>
    </xf>
  </cellXfs>
  <cellStyles count="1">
    <cellStyle name="Normal" xfId="0" builtinId="0"/>
  </cellStyles>
  <dxfs count="119">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border diagonalUp="0" diagonalDown="0" outline="0">
        <left style="medium">
          <color indexed="64"/>
        </left>
        <right style="medium">
          <color indexed="64"/>
        </right>
        <top/>
        <bottom/>
      </border>
    </dxf>
    <dxf>
      <numFmt numFmtId="2" formatCode="0.00"/>
      <alignment horizontal="center" vertical="center" textRotation="0" wrapText="1" indent="0" justifyLastLine="0" shrinkToFit="0" readingOrder="0"/>
      <border diagonalUp="0" diagonalDown="0" outline="0">
        <left/>
        <right style="medium">
          <color indexed="64"/>
        </right>
        <top/>
        <bottom/>
      </border>
    </dxf>
    <dxf>
      <numFmt numFmtId="2" formatCode="0.00"/>
      <alignment horizontal="center" vertical="center" textRotation="0" wrapText="1" indent="0" justifyLastLine="0" shrinkToFit="0" readingOrder="0"/>
    </dxf>
    <dxf>
      <numFmt numFmtId="2" formatCode="0.00"/>
      <alignment horizontal="center" vertical="center" textRotation="0" wrapText="1" indent="0" justifyLastLine="0" shrinkToFit="0" readingOrder="0"/>
    </dxf>
    <dxf>
      <numFmt numFmtId="1" formatCode="0"/>
      <alignment horizontal="center" vertical="center" textRotation="0" wrapText="1" indent="0" justifyLastLine="0" shrinkToFit="0" readingOrder="0"/>
      <border diagonalUp="0" diagonalDown="0" outline="0">
        <left style="medium">
          <color indexed="64"/>
        </left>
        <right/>
        <top/>
        <bottom/>
      </border>
    </dxf>
    <dxf>
      <numFmt numFmtId="2" formatCode="0.00"/>
      <alignment horizontal="center" vertical="center" textRotation="0" wrapText="1" indent="0" justifyLastLine="0" shrinkToFit="0" readingOrder="0"/>
      <border diagonalUp="0" diagonalDown="0" outline="0">
        <left/>
        <right style="medium">
          <color indexed="64"/>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right style="medium">
          <color indexed="64"/>
        </right>
        <top/>
        <bottom/>
      </border>
    </dxf>
    <dxf>
      <font>
        <b/>
      </font>
      <alignment horizontal="center" vertical="center" textRotation="0" wrapText="1" indent="0" justifyLastLine="0" shrinkToFit="0" readingOrder="0"/>
      <border diagonalUp="0" diagonalDown="0" outline="0">
        <left style="medium">
          <color indexed="64"/>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numFmt numFmtId="2" formatCode="0.00"/>
      <alignment horizontal="center"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numFmt numFmtId="2" formatCode="0.00"/>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0"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0"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auto="1"/>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general" vertical="center" textRotation="0" wrapText="1" indent="0" justifyLastLine="0" shrinkToFit="0" readingOrder="0"/>
    </dxf>
    <dxf>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numFmt numFmtId="1" formatCode="0"/>
      <fill>
        <patternFill patternType="none">
          <bgColor auto="1"/>
        </patternFill>
      </fill>
      <alignment horizontal="center"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border diagonalUp="0" diagonalDown="0">
        <left/>
        <right style="medium">
          <color indexed="64"/>
        </right>
        <top/>
        <bottom/>
        <vertical/>
        <horizontal/>
      </border>
      <protection locked="0" hidden="0"/>
    </dxf>
    <dxf>
      <alignment horizontal="center" vertical="center" textRotation="0" wrapText="1" indent="0" justifyLastLine="0" shrinkToFit="0" readingOrder="0"/>
      <protection locked="0" hidden="0"/>
    </dxf>
    <dxf>
      <alignment horizontal="center" vertical="center" textRotation="0" wrapText="1" indent="0" justifyLastLine="0" shrinkToFit="0" readingOrder="0"/>
      <border diagonalUp="0" diagonalDown="0">
        <left style="medium">
          <color indexed="64"/>
        </left>
        <right/>
        <top/>
        <bottom/>
        <vertical/>
        <horizontal/>
      </border>
      <protection locked="1" hidden="0"/>
    </dxf>
    <dxf>
      <alignment horizontal="center" vertical="center" textRotation="0" wrapText="1" indent="0" justifyLastLine="0" shrinkToFit="0" readingOrder="0"/>
      <protection locked="1" hidden="0"/>
    </dxf>
    <dxf>
      <alignment horizontal="left" vertical="center" textRotation="0" wrapText="1" indent="0" justifyLastLine="0" shrinkToFit="0" readingOrder="0"/>
      <protection locked="0" hidden="0"/>
    </dxf>
    <dxf>
      <numFmt numFmtId="1" formatCode="0"/>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protection locked="1" hidden="0"/>
    </dxf>
    <dxf>
      <numFmt numFmtId="1" formatCode="0"/>
      <alignment horizontal="center" vertical="center" textRotation="0" wrapText="1" indent="0" justifyLastLine="0" shrinkToFit="0" readingOrder="0"/>
      <protection locked="1" hidden="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auto="1"/>
        </patternFill>
      </fill>
      <alignment horizontal="general" vertical="center" textRotation="0" wrapText="1" indent="0" justifyLastLine="0" shrinkToFit="0" readingOrder="0"/>
    </dxf>
    <dxf>
      <alignment horizontal="center" vertical="center" textRotation="0" wrapText="1" indent="0" justifyLastLine="0" shrinkToFit="0" readingOrder="0"/>
      <border diagonalUp="0" diagonalDown="0">
        <left/>
        <right style="thin">
          <color indexed="64"/>
        </right>
        <top/>
        <bottom/>
        <vertical/>
        <horizontal/>
      </border>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bottom/>
        <vertical/>
        <horizontal/>
      </border>
    </dxf>
    <dxf>
      <fill>
        <patternFill patternType="none">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30" formatCode="@"/>
      <fill>
        <patternFill patternType="none">
          <fgColor theme="4" tint="0.79998168889431442"/>
          <bgColor auto="1"/>
        </patternFill>
      </fill>
      <alignment horizontal="center" vertical="center" textRotation="0" wrapText="1" indent="0" justifyLastLine="0" shrinkToFit="0" readingOrder="0"/>
      <border diagonalUp="0" diagonalDown="0">
        <left/>
        <right style="medium">
          <color indexed="64"/>
        </right>
        <top/>
        <bottom/>
        <vertical/>
        <horizontal/>
      </border>
    </dxf>
    <dxf>
      <font>
        <sz val="10"/>
      </font>
      <numFmt numFmtId="30" formatCode="@"/>
      <fill>
        <patternFill patternType="none">
          <bgColor auto="1"/>
        </patternFill>
      </fill>
      <alignment horizontal="center" vertical="center" textRotation="0" wrapText="1" indent="0" justifyLastLine="0" shrinkToFit="0" readingOrder="0"/>
    </dxf>
    <dxf>
      <font>
        <sz val="10"/>
      </font>
      <fill>
        <patternFill patternType="none">
          <fgColor indexed="64"/>
          <bgColor indexed="65"/>
        </patternFill>
      </fill>
      <alignment horizontal="center" vertical="center" textRotation="0" wrapText="1"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0"/>
        <color theme="1"/>
        <name val="Aptos Narrow"/>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ptos Narrow"/>
        <family val="2"/>
        <scheme val="minor"/>
      </font>
      <numFmt numFmtId="1" formatCode="0"/>
      <fill>
        <patternFill patternType="none">
          <fgColor indexed="64"/>
          <bgColor indexed="65"/>
        </patternFill>
      </fill>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bgColor auto="1"/>
        </patternFill>
      </fill>
      <alignment horizontal="center" vertical="center" textRotation="0" wrapText="1" indent="0" justifyLastLine="0" shrinkToFit="0" readingOrder="0"/>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8</xdr:row>
          <xdr:rowOff>76200</xdr:rowOff>
        </xdr:from>
        <xdr:to>
          <xdr:col>2</xdr:col>
          <xdr:colOff>228600</xdr:colOff>
          <xdr:row>8</xdr:row>
          <xdr:rowOff>514350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Sync Master Equipment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8</xdr:row>
          <xdr:rowOff>104775</xdr:rowOff>
        </xdr:from>
        <xdr:to>
          <xdr:col>11</xdr:col>
          <xdr:colOff>800100</xdr:colOff>
          <xdr:row>8</xdr:row>
          <xdr:rowOff>533400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Apply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8</xdr:row>
          <xdr:rowOff>76200</xdr:rowOff>
        </xdr:from>
        <xdr:to>
          <xdr:col>15</xdr:col>
          <xdr:colOff>781050</xdr:colOff>
          <xdr:row>8</xdr:row>
          <xdr:rowOff>523875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Delete Removed Parts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114300</xdr:rowOff>
        </xdr:from>
        <xdr:to>
          <xdr:col>2</xdr:col>
          <xdr:colOff>180975</xdr:colOff>
          <xdr:row>0</xdr:row>
          <xdr:rowOff>647700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ptos Narrow"/>
                </a:rPr>
                <a:t>Rebuild Power Querry</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69772F9-D950-4243-87F2-88D836E269CE}" autoFormatId="16" applyNumberFormats="0" applyBorderFormats="0" applyFontFormats="0" applyPatternFormats="0" applyAlignmentFormats="0" applyWidthHeightFormats="0">
  <queryTableRefresh nextId="11">
    <queryTableFields count="10">
      <queryTableField id="1" name="BOM Source" tableColumnId="1"/>
      <queryTableField id="2" name="Item" tableColumnId="2"/>
      <queryTableField id="3" name="Phase" tableColumnId="3"/>
      <queryTableField id="4" name="Manufacturer" tableColumnId="4"/>
      <queryTableField id="5" name="Part Number" tableColumnId="5"/>
      <queryTableField id="6" name="Assy QTY" tableColumnId="6"/>
      <queryTableField id="7" name="QTY" tableColumnId="7"/>
      <queryTableField id="8" name="NEED" tableColumnId="8"/>
      <queryTableField id="9" name="LOC" tableColumnId="9"/>
      <queryTableField id="10" name="LOC Description" tableColumnId="10"/>
    </queryTableFields>
  </queryTableRefresh>
</queryTable>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078D8CF-D8A5-4C46-9E8C-CFAA335D0518}" name="Master_Equipment" displayName="Master_Equipment" ref="A10:Q211" totalsRowShown="0" headerRowDxfId="115" dataDxfId="114">
  <autoFilter ref="A10:Q211" xr:uid="{D078D8CF-D8A5-4C46-9E8C-CFAA335D0518}"/>
  <sortState xmlns:xlrd2="http://schemas.microsoft.com/office/spreadsheetml/2017/richdata2" ref="A11:Q211">
    <sortCondition ref="A10:A211"/>
  </sortState>
  <tableColumns count="17">
    <tableColumn id="1" xr3:uid="{C0CA29A1-9206-4D88-ADBF-BC603A727855}" name="Master Equipment List Item" dataDxfId="113"/>
    <tableColumn id="9" xr3:uid="{53122AE6-E349-49E4-9835-38B42217A697}" name="Source" dataDxfId="112"/>
    <tableColumn id="17" xr3:uid="{B901C7DC-01A3-44F9-9854-BBAC90FFE4B2}" name="Assy QTY" dataDxfId="111"/>
    <tableColumn id="3" xr3:uid="{EC353BB2-8383-4FD9-8FF3-00858555D4DB}" name="Manufacturer" dataDxfId="110"/>
    <tableColumn id="4" xr3:uid="{ED29B403-0547-4606-9EBC-340BC0F72031}" name="Part Number" dataDxfId="109"/>
    <tableColumn id="11" xr3:uid="{5A4CE345-A191-449A-B19A-2A67DDE8451C}" name="QTY" dataDxfId="108"/>
    <tableColumn id="10" xr3:uid="{2BF9E82A-56E6-46E9-8905-95C34CD6B70C}" name="Need QTY" dataDxfId="107"/>
    <tableColumn id="5" xr3:uid="{ADE86BE7-4B39-42DC-8137-A637AD0F6443}" name="ELEC Tags" dataDxfId="106"/>
    <tableColumn id="6" xr3:uid="{D0E1A16A-AFCF-4A20-B958-22F25709AFC9}" name="HYD Tags" dataDxfId="105"/>
    <tableColumn id="7" xr3:uid="{E51F9491-1FB9-4D1E-BDB6-A2EE44D9271B}" name="PNU Tags" dataDxfId="104"/>
    <tableColumn id="8" xr3:uid="{EC210B05-43E5-4232-929F-C0F55226149B}" name="Functional Description" dataDxfId="103"/>
    <tableColumn id="2" xr3:uid="{A63279D1-3964-4761-A3D6-A10399F667C3}" name="P&amp;ID Tags" dataDxfId="102"/>
    <tableColumn id="15" xr3:uid="{FD2EF173-2B55-4C11-8C98-156BC8C9C4EC}" name="Include in I/O List?" dataDxfId="101"/>
    <tableColumn id="14" xr3:uid="{61A4541F-D2A9-428E-B0B0-2DD71A7A0C58}" name="Include in Utility Load Table?" dataDxfId="100"/>
    <tableColumn id="13" xr3:uid="{65E738BB-16E3-49F4-B0CA-EB73BC98D32E}" name="Include in Heat Load &amp; Noise Table?" dataDxfId="99"/>
    <tableColumn id="16" xr3:uid="{261543D1-ACA2-4F16-AB94-202FEEBB45E7}" name="Removed from BOM" dataDxfId="98"/>
    <tableColumn id="12" xr3:uid="{9886FC3E-D977-43ED-B8CE-70CCE2680C4F}" name="Notes" dataDxfId="97"/>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AF892FA-72EE-411C-A34E-67D51455DE1F}" name="IO_List" displayName="IO_List" ref="A11:I98" totalsRowShown="0" headerRowDxfId="96" dataDxfId="95">
  <autoFilter ref="A11:I98" xr:uid="{FAF892FA-72EE-411C-A34E-67D51455DE1F}"/>
  <sortState xmlns:xlrd2="http://schemas.microsoft.com/office/spreadsheetml/2017/richdata2" ref="A12:I98">
    <sortCondition ref="A11:A98"/>
  </sortState>
  <tableColumns count="9">
    <tableColumn id="1" xr3:uid="{64D641DE-4E87-4CD5-B25F-931D21383D1C}" name="Master Equipment List Item" dataDxfId="94"/>
    <tableColumn id="2" xr3:uid="{BA098CF8-B10F-471B-8F4A-347553FA2801}" name="Manufacturer" dataDxfId="93"/>
    <tableColumn id="13" xr3:uid="{122D15FA-D24C-4FEC-8ECB-79035CE70AE7}" name="Part Number" dataDxfId="92"/>
    <tableColumn id="15" xr3:uid="{DA00595E-271D-40E6-A445-4DEF0E5E0CF0}" name="Description" dataDxfId="91"/>
    <tableColumn id="12" xr3:uid="{7D9A51BF-B3E2-4FC0-9078-727FDC46A20F}" name="ELEC Tag" dataDxfId="90"/>
    <tableColumn id="4" xr3:uid="{5172F16A-BB5E-43AB-B4A4-7AF3300A6018}" name="Controller Location" dataDxfId="89"/>
    <tableColumn id="6" xr3:uid="{54F39AAF-E37C-4757-9E23-1D470A39209C}" name="I/O Controller" dataDxfId="88"/>
    <tableColumn id="7" xr3:uid="{03CF4D7A-D501-4A8A-82FB-7CBA1B3ACE41}" name="I/O Point(s)" dataDxfId="87"/>
    <tableColumn id="8" xr3:uid="{4972AAB2-9F6F-4E2D-BF85-00AEAE867E15}" name="Notes_x000a_(I/O Signal Type, Functional Logic, etc.)" dataDxfId="86"/>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C24E207-8047-49C1-B987-52FE7288CB35}" name="Table8" displayName="Table8" ref="G1:I7" totalsRowShown="0" headerRowDxfId="85" dataDxfId="84">
  <tableColumns count="3">
    <tableColumn id="1" xr3:uid="{505DDDF6-E260-4AA6-9287-21353A3A23E2}" name="Main Controllers" dataDxfId="83"/>
    <tableColumn id="2" xr3:uid="{CBC0E7E5-35E1-4954-B271-C8DB99941E80}" name="Main Tag" dataDxfId="82"/>
    <tableColumn id="3" xr3:uid="{3723B076-C9BE-4CDC-8AED-D1668BBECB10}" name="Controller Description" dataDxfId="81"/>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D553D8-CCF9-46B0-9514-B5EC13F11771}" name="PID_Tag_List" displayName="PID_Tag_List" ref="A9:H19" totalsRowShown="0" headerRowDxfId="80" dataDxfId="79">
  <autoFilter ref="A9:H19" xr:uid="{32D553D8-CCF9-46B0-9514-B5EC13F11771}"/>
  <sortState xmlns:xlrd2="http://schemas.microsoft.com/office/spreadsheetml/2017/richdata2" ref="A10:H19">
    <sortCondition ref="A9:A19"/>
    <sortCondition ref="F9:F19"/>
  </sortState>
  <tableColumns count="8">
    <tableColumn id="1" xr3:uid="{8E879A88-0E4C-48ED-98DF-19C296CFAF31}" name="Master Equipment List Item" dataDxfId="78"/>
    <tableColumn id="3" xr3:uid="{9C139DE7-DEDC-46BD-BB3F-65B5F16ADF81}" name="Manufacturer" dataDxfId="77"/>
    <tableColumn id="4" xr3:uid="{63D2E67D-1203-4D69-8D08-93147628B313}" name="Part Number" dataDxfId="76"/>
    <tableColumn id="2" xr3:uid="{EE5A11DC-9E8D-485F-B683-88EA9C9A42A0}" name="P&amp;ID Tag" dataDxfId="75"/>
    <tableColumn id="11" xr3:uid="{B971F108-9B23-44B8-B0EE-020CDCDC0C89}" name="Loop / Equipment #" dataDxfId="74"/>
    <tableColumn id="10" xr3:uid="{C07F1844-AD83-4143-9026-EA8D6136333A}" name="Instrument / Equipment?" dataDxfId="73"/>
    <tableColumn id="8" xr3:uid="{C2C05F51-D4F3-48EB-9609-6A1CFEE9F1B3}" name="Description" dataDxfId="72"/>
    <tableColumn id="12" xr3:uid="{C8195F66-1795-476D-886D-F24E984D1E3D}" name="Notes" dataDxfId="71"/>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D831610-63DC-480D-9B5B-1AE768DB76B4}" name="PID_Loops" displayName="PID_Loops" ref="A9:G83" totalsRowShown="0" headerRowDxfId="70" dataDxfId="69">
  <autoFilter ref="A9:G83" xr:uid="{5D831610-63DC-480D-9B5B-1AE768DB76B4}"/>
  <tableColumns count="7">
    <tableColumn id="1" xr3:uid="{D0541CC8-13FF-4A50-9B2F-0F22EC97C41A}" name="Instrumentation Loop #" dataDxfId="68"/>
    <tableColumn id="7" xr3:uid="{AE156F9A-EFB7-4181-B962-F9B30833D94C}" name="Main System" dataDxfId="67"/>
    <tableColumn id="2" xr3:uid="{F9ED801D-C702-4253-A662-124FBDB6D446}" name="Control Vairable" dataDxfId="66"/>
    <tableColumn id="3" xr3:uid="{1AEF9077-E642-4BF3-BF51-0E991B98BD3A}" name="Instrumentation_x000a_(Sensors &amp; I/O)" dataDxfId="65"/>
    <tableColumn id="6" xr3:uid="{D7CE7A52-1BB2-47CA-B8CB-9856FC1BE8D8}" name="PLC, HMI, DSC, SIS, Drive, etc." dataDxfId="64"/>
    <tableColumn id="4" xr3:uid="{A1A9DAC0-6B55-4861-B998-4FC3D51688C6}" name="Final Control Element(s)" dataDxfId="63"/>
    <tableColumn id="5" xr3:uid="{9A60921C-9B81-4D9C-9CDA-C32F9F6CC321}" name="Loop Description &amp; Notes" dataDxfId="62"/>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77F7AC-9638-4EBA-A98C-CF0460937759}" name="Utility_Load" displayName="Utility_Load" ref="A10:Q11" insertRow="1" totalsRowShown="0" headerRowDxfId="61" dataDxfId="60">
  <autoFilter ref="A10:Q11" xr:uid="{1D77F7AC-9638-4EBA-A98C-CF0460937759}"/>
  <sortState xmlns:xlrd2="http://schemas.microsoft.com/office/spreadsheetml/2017/richdata2" ref="A11:Q11">
    <sortCondition ref="A10:A11"/>
  </sortState>
  <tableColumns count="17">
    <tableColumn id="1" xr3:uid="{9F59D56A-A22C-4BC6-B5E0-146F246BC8C5}" name="Master Equipment List Item" dataDxfId="59"/>
    <tableColumn id="2" xr3:uid="{CBD67256-F727-460C-99CD-3B612DA59B5A}" name="QTY" dataDxfId="58"/>
    <tableColumn id="13" xr3:uid="{9BF980CB-BB72-4971-AB0F-14F30079E76A}" name="Manufacturer" dataDxfId="57"/>
    <tableColumn id="12" xr3:uid="{EAC8A42D-A38C-4ED9-A8DC-C64096E86AB6}" name="Part Number" dataDxfId="56"/>
    <tableColumn id="3" xr3:uid="{942C4786-2261-4297-956C-68893B50E6FF}" name="P&amp;ID Tags" dataDxfId="55"/>
    <tableColumn id="17" xr3:uid="{AE1F6AD4-406F-4C7B-96ED-A6DBF641A186}" name="ELEC Tag" dataDxfId="54"/>
    <tableColumn id="14" xr3:uid="{2E542E52-79F7-4E85-A591-F6088277A18B}" name="HYD Tag" dataDxfId="53"/>
    <tableColumn id="4" xr3:uid="{24BA12C7-FBC3-4B3A-ADBF-F1261622159B}" name="PNU Tag" dataDxfId="52"/>
    <tableColumn id="15" xr3:uid="{380878FD-0016-4441-9B80-89DFF84D4593}" name="Description" dataDxfId="51"/>
    <tableColumn id="6" xr3:uid="{B74785AF-F6EA-43A4-97CF-C080390A46E9}" name="Voltage" dataDxfId="50"/>
    <tableColumn id="7" xr3:uid="{6D5249E4-7E0C-4B51-B953-005C1DB8F01D}" name="Phase" dataDxfId="49"/>
    <tableColumn id="8" xr3:uid="{6C57ED70-CFB0-436F-AFBD-93F30EADB176}" name="F.L.A." dataDxfId="48"/>
    <tableColumn id="5" xr3:uid="{677D50A7-3AE5-478B-94AA-87D1A757B334}" name="Power" dataDxfId="47"/>
    <tableColumn id="16" xr3:uid="{FDF84654-130B-4F7F-B631-E0C1B4D0967F}" name="Power Units" dataDxfId="46"/>
    <tableColumn id="9" xr3:uid="{42B0CF4D-5E60-4C47-87AA-340951657BF7}" name="PSI" dataDxfId="45"/>
    <tableColumn id="10" xr3:uid="{79F345BE-B64C-4C2A-85DE-FEEF5E1ACFF2}" name="CFM" dataDxfId="44"/>
    <tableColumn id="11" xr3:uid="{0091019A-7B79-4897-9E32-7EB0E760F269}" name="Duty Cycle" dataDxfId="43"/>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F8F38E7-E17D-48EA-8DAE-43D5BCC17A30}" name="Heat_Noise" displayName="Heat_Noise" ref="A19:O20" insertRow="1" totalsRowShown="0" headerRowDxfId="42" dataDxfId="41">
  <autoFilter ref="A19:O20" xr:uid="{3F8F38E7-E17D-48EA-8DAE-43D5BCC17A30}"/>
  <sortState xmlns:xlrd2="http://schemas.microsoft.com/office/spreadsheetml/2017/richdata2" ref="A20:O20">
    <sortCondition ref="A19:A20"/>
  </sortState>
  <tableColumns count="15">
    <tableColumn id="1" xr3:uid="{39EEEC7E-2887-47EC-991C-65DF246991AE}" name="Master Equipment List Item" dataDxfId="40"/>
    <tableColumn id="16" xr3:uid="{982D98F3-5062-4870-BF30-9A611E458E2E}" name="Location / Cabinet" dataDxfId="39"/>
    <tableColumn id="13" xr3:uid="{4459C290-F933-4D1C-8E15-5B4EB7DF694A}" name="Manufacturer" dataDxfId="38"/>
    <tableColumn id="12" xr3:uid="{DC67A64C-8A0B-454F-93A7-668C4BB5277A}" name="Part Number" dataDxfId="37"/>
    <tableColumn id="2" xr3:uid="{613FA77D-6DD5-408D-9CF6-015A16AB9B78}" name="QTY" dataDxfId="36"/>
    <tableColumn id="3" xr3:uid="{24E2862F-8E3E-4825-94B7-52F58D344191}" name="P&amp;ID Tags" dataDxfId="35"/>
    <tableColumn id="17" xr3:uid="{DC65CDE4-FFE3-42D8-A9DA-7E5672866AD5}" name="ELEC Tags" dataDxfId="34"/>
    <tableColumn id="14" xr3:uid="{5D4690C7-3F97-4C48-B0E7-BD94DB9240E5}" name="HYD Tags" dataDxfId="33"/>
    <tableColumn id="4" xr3:uid="{CC191CB5-4E86-4CF3-A6F1-4C8C1B05F809}" name="PNU Tags" dataDxfId="32"/>
    <tableColumn id="15" xr3:uid="{E679A10B-7FA7-4D8F-B478-596CD4CB4063}" name="Description" dataDxfId="31"/>
    <tableColumn id="8" xr3:uid="{75936D34-42A8-420D-81F7-CEEC0FDDDB03}" name="Power" dataDxfId="30"/>
    <tableColumn id="6" xr3:uid="{19E6790B-1C56-4F67-8B0C-8D980ADECE81}" name="Efficiency / Losses" dataDxfId="29"/>
    <tableColumn id="7" xr3:uid="{2287E27F-C167-4F74-A791-1E2653FCFE47}" name="Efficiency / Loss Units" dataDxfId="28"/>
    <tableColumn id="18" xr3:uid="{0C103537-D95A-40CF-8BA6-F1BACC47257E}" name="Total BTU/hr" dataDxfId="27"/>
    <tableColumn id="5" xr3:uid="{5988C784-2899-49DE-8A73-6C788EF694B8}" name="Noise (dB)" dataDxfId="26"/>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A55EDE4-509D-4230-81C9-36B588F1C850}" name="Heat_Noise_Totals" displayName="Heat_Noise_Totals" ref="C8:N14" totalsRowShown="0" headerRowDxfId="25" dataDxfId="24">
  <autoFilter ref="C8:N14" xr:uid="{FA55EDE4-509D-4230-81C9-36B588F1C850}"/>
  <tableColumns count="12">
    <tableColumn id="1" xr3:uid="{63440E4F-B85F-48BD-B2B2-20EA249D576E}" name="Location" dataDxfId="23"/>
    <tableColumn id="2" xr3:uid="{4986D3CE-B12C-4310-9ECC-62182C5125DD}" name="Description" dataDxfId="22"/>
    <tableColumn id="12" xr3:uid="{1592C053-AD0F-4F10-8FA2-DC2A8F899E38}" name="Target Cabinet Temp (°F)" dataDxfId="21"/>
    <tableColumn id="3" xr3:uid="{092E60A2-C5A0-44C9-915C-15ABD8C6EB5A}" name="Height_x000a_(in)" dataDxfId="20"/>
    <tableColumn id="4" xr3:uid="{9C17769B-9297-4490-9AC2-16683034C770}" name="Width_x000a_(in)" dataDxfId="19"/>
    <tableColumn id="5" xr3:uid="{C66A0CA1-6393-4E09-91E7-3B47D3CC69DF}" name="Depth_x000a_(in)" dataDxfId="18"/>
    <tableColumn id="6" xr3:uid="{4233BF34-4A63-4508-82A6-C38B232A2298}" name="Surface Area (ft^2)" dataDxfId="17"/>
    <tableColumn id="9" xr3:uid="{18D58B47-23E6-4096-BA2B-3BE11E354AC8}" name="Temp Differential (∆°F)" dataDxfId="16"/>
    <tableColumn id="7" xr3:uid="{CE995D61-AC96-4CCA-8221-244C9A6FA577}" name="Heat Load (BTU/Hr)" dataDxfId="15"/>
    <tableColumn id="8" xr3:uid="{7D1073BA-BB2F-4141-B222-E40E4A3F67C7}" name="Heat Load (External) (BTU/Hr)" dataDxfId="14"/>
    <tableColumn id="10" xr3:uid="{2790B9D5-3A79-42DC-B610-B92CE80D77B4}" name="Total Heat Load (BTU/Hr)" dataDxfId="13"/>
    <tableColumn id="11" xr3:uid="{3E21DD09-156F-4E5D-A614-EE5DCF1A1A14}" name="Noise (dB)" dataDxfId="12"/>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5F9B628-38B6-4CA7-A78A-20CC31E2F6CF}" name="All_BOM_Parts" displayName="All_BOM_Parts" ref="A3:J221" tableType="queryTable" totalsRowShown="0" headerRowDxfId="11" dataDxfId="10">
  <autoFilter ref="A3:J221" xr:uid="{45F9B628-38B6-4CA7-A78A-20CC31E2F6CF}"/>
  <tableColumns count="10">
    <tableColumn id="1" xr3:uid="{E9B00F4A-9FF0-4546-A523-F32833E7DF5F}" uniqueName="1" name="BOM Source" queryTableFieldId="1" dataDxfId="9"/>
    <tableColumn id="2" xr3:uid="{E8C898F8-86CA-4A49-BECA-C05C6A3BCFDD}" uniqueName="2" name="Item" queryTableFieldId="2" dataDxfId="8"/>
    <tableColumn id="3" xr3:uid="{ECED7B90-01CF-4176-975E-EA57279584DD}" uniqueName="3" name="Phase" queryTableFieldId="3" dataDxfId="7"/>
    <tableColumn id="4" xr3:uid="{960F7341-E340-4DF3-B053-269D646995AA}" uniqueName="4" name="Manufacturer" queryTableFieldId="4" dataDxfId="6"/>
    <tableColumn id="5" xr3:uid="{DBDFABC0-6D4C-405A-B570-0C4B46A16C1B}" uniqueName="5" name="Part Number" queryTableFieldId="5" dataDxfId="5"/>
    <tableColumn id="6" xr3:uid="{6862406F-5D5C-4FBA-9B12-8C84E6085323}" uniqueName="6" name="Assy QTY" queryTableFieldId="6" dataDxfId="4"/>
    <tableColumn id="7" xr3:uid="{459C6D03-3102-492C-BF35-FEA44CFD1D7C}" uniqueName="7" name="QTY" queryTableFieldId="7" dataDxfId="3"/>
    <tableColumn id="8" xr3:uid="{6FAB15FC-873C-45E7-9837-4E344A718865}" uniqueName="8" name="NEED" queryTableFieldId="8" dataDxfId="2"/>
    <tableColumn id="9" xr3:uid="{3C7DE7BD-EB56-4AD8-B027-44EAD9F9D50D}" uniqueName="9" name="LOC" queryTableFieldId="9" dataDxfId="1"/>
    <tableColumn id="10" xr3:uid="{FD99B9C0-0CE6-4E6B-9CFA-8C77EA7C17BC}" uniqueName="10" name="LOC Description" queryTableFieldId="10"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3B212-08A1-436F-99F9-904200B2DB2F}">
  <sheetPr codeName="Sheet1"/>
  <dimension ref="A1:Q211"/>
  <sheetViews>
    <sheetView tabSelected="1" zoomScale="85" zoomScaleNormal="85" workbookViewId="0">
      <selection activeCell="I19" sqref="I19"/>
    </sheetView>
  </sheetViews>
  <sheetFormatPr defaultRowHeight="15" x14ac:dyDescent="0.25"/>
  <cols>
    <col min="1" max="1" width="11.42578125" style="9" customWidth="1"/>
    <col min="2" max="2" width="10.42578125" style="9" customWidth="1"/>
    <col min="3" max="3" width="7.42578125" style="9" customWidth="1"/>
    <col min="4" max="4" width="26" style="9" customWidth="1"/>
    <col min="5" max="5" width="27.7109375" style="9" customWidth="1"/>
    <col min="6" max="6" width="9.7109375" style="9" customWidth="1"/>
    <col min="7" max="7" width="13.140625" style="9" customWidth="1"/>
    <col min="8" max="8" width="27.42578125" style="9" customWidth="1"/>
    <col min="9" max="9" width="18.7109375" style="9" customWidth="1"/>
    <col min="10" max="10" width="20.85546875" style="9" customWidth="1"/>
    <col min="11" max="11" width="61.85546875" style="9" customWidth="1"/>
    <col min="12" max="12" width="21.5703125" style="9" customWidth="1"/>
    <col min="13" max="14" width="14.140625" style="9" customWidth="1"/>
    <col min="15" max="15" width="16.28515625" style="9" customWidth="1"/>
    <col min="16" max="16" width="12.85546875" style="9" customWidth="1"/>
    <col min="17" max="17" width="71.7109375" style="9" customWidth="1"/>
    <col min="18" max="18" width="13.42578125" style="9" customWidth="1"/>
    <col min="19" max="19" width="15.7109375" style="9" customWidth="1"/>
    <col min="20" max="20" width="82.5703125" style="9" customWidth="1"/>
    <col min="21" max="16384" width="9.140625" style="9"/>
  </cols>
  <sheetData>
    <row r="1" spans="1:17" ht="15.75" thickBot="1" x14ac:dyDescent="0.3">
      <c r="A1" s="70" t="s">
        <v>350</v>
      </c>
      <c r="B1" s="71"/>
      <c r="C1" s="71"/>
      <c r="D1" s="72"/>
    </row>
    <row r="2" spans="1:17" x14ac:dyDescent="0.25">
      <c r="A2" s="82" t="s">
        <v>351</v>
      </c>
      <c r="B2" s="83"/>
      <c r="C2" s="84">
        <v>20570</v>
      </c>
      <c r="D2" s="85"/>
    </row>
    <row r="3" spans="1:17" x14ac:dyDescent="0.25">
      <c r="A3" s="73" t="s">
        <v>352</v>
      </c>
      <c r="B3" s="74"/>
      <c r="C3" s="75" t="s">
        <v>1181</v>
      </c>
      <c r="D3" s="76"/>
    </row>
    <row r="4" spans="1:17" ht="15.75" thickBot="1" x14ac:dyDescent="0.3">
      <c r="A4" s="73" t="s">
        <v>356</v>
      </c>
      <c r="B4" s="74"/>
      <c r="C4" s="75" t="s">
        <v>349</v>
      </c>
      <c r="D4" s="76"/>
    </row>
    <row r="5" spans="1:17" x14ac:dyDescent="0.25">
      <c r="A5" s="73" t="s">
        <v>354</v>
      </c>
      <c r="B5" s="74"/>
      <c r="C5" s="75" t="s">
        <v>124</v>
      </c>
      <c r="D5" s="76"/>
      <c r="E5" s="30" t="s">
        <v>407</v>
      </c>
      <c r="F5" s="4" t="s">
        <v>403</v>
      </c>
    </row>
    <row r="6" spans="1:17" ht="31.5" customHeight="1" thickBot="1" x14ac:dyDescent="0.3">
      <c r="A6" s="73" t="s">
        <v>404</v>
      </c>
      <c r="B6" s="74"/>
      <c r="C6" s="75" t="s">
        <v>1182</v>
      </c>
      <c r="D6" s="76"/>
      <c r="E6" s="39" t="s">
        <v>399</v>
      </c>
      <c r="F6" s="31" t="s">
        <v>725</v>
      </c>
    </row>
    <row r="7" spans="1:17" ht="15.75" thickBot="1" x14ac:dyDescent="0.3">
      <c r="A7" s="77" t="s">
        <v>355</v>
      </c>
      <c r="B7" s="78"/>
      <c r="C7" s="79">
        <v>46063</v>
      </c>
      <c r="D7" s="80"/>
      <c r="H7" s="81" t="s">
        <v>1180</v>
      </c>
      <c r="I7" s="81"/>
      <c r="J7" s="81"/>
    </row>
    <row r="8" spans="1:17" ht="15.75" thickBot="1" x14ac:dyDescent="0.3"/>
    <row r="9" spans="1:17" ht="50.1" customHeight="1" thickBot="1" x14ac:dyDescent="0.3">
      <c r="A9" s="70" t="s">
        <v>348</v>
      </c>
      <c r="B9" s="71"/>
      <c r="C9" s="71"/>
      <c r="D9" s="71"/>
      <c r="E9" s="71"/>
      <c r="F9" s="71"/>
      <c r="G9" s="71"/>
      <c r="H9" s="71"/>
      <c r="I9" s="71"/>
      <c r="J9" s="71"/>
      <c r="K9" s="72"/>
      <c r="L9" s="70" t="s">
        <v>405</v>
      </c>
      <c r="M9" s="71"/>
      <c r="N9" s="71"/>
      <c r="O9" s="72"/>
      <c r="P9" s="40"/>
    </row>
    <row r="10" spans="1:17" ht="45" x14ac:dyDescent="0.25">
      <c r="A10" s="1" t="s">
        <v>335</v>
      </c>
      <c r="B10" s="1" t="s">
        <v>336</v>
      </c>
      <c r="C10" s="1" t="s">
        <v>400</v>
      </c>
      <c r="D10" s="1" t="s">
        <v>0</v>
      </c>
      <c r="E10" s="1" t="s">
        <v>1</v>
      </c>
      <c r="F10" s="1" t="s">
        <v>337</v>
      </c>
      <c r="G10" s="1" t="s">
        <v>401</v>
      </c>
      <c r="H10" s="5" t="s">
        <v>106</v>
      </c>
      <c r="I10" s="6" t="s">
        <v>107</v>
      </c>
      <c r="J10" s="7" t="s">
        <v>108</v>
      </c>
      <c r="K10" s="1" t="s">
        <v>406</v>
      </c>
      <c r="L10" s="32" t="s">
        <v>345</v>
      </c>
      <c r="M10" s="1" t="s">
        <v>139</v>
      </c>
      <c r="N10" s="1" t="s">
        <v>724</v>
      </c>
      <c r="O10" s="1" t="s">
        <v>130</v>
      </c>
      <c r="P10" s="37" t="s">
        <v>338</v>
      </c>
      <c r="Q10" s="1" t="s">
        <v>3</v>
      </c>
    </row>
    <row r="11" spans="1:17" x14ac:dyDescent="0.25">
      <c r="A11" s="108">
        <v>1</v>
      </c>
      <c r="B11" s="108" t="s">
        <v>410</v>
      </c>
      <c r="C11" s="106">
        <v>1</v>
      </c>
      <c r="D11" s="107" t="s">
        <v>411</v>
      </c>
      <c r="E11" s="107" t="s">
        <v>412</v>
      </c>
      <c r="F11" s="106">
        <v>1</v>
      </c>
      <c r="G11" s="106">
        <v>1</v>
      </c>
      <c r="H11" s="63" t="s">
        <v>419</v>
      </c>
      <c r="I11" s="33" t="s">
        <v>718</v>
      </c>
      <c r="J11" s="64" t="s">
        <v>718</v>
      </c>
      <c r="K11" s="109" t="s">
        <v>777</v>
      </c>
      <c r="L11" s="36"/>
      <c r="M11" s="29" t="s">
        <v>399</v>
      </c>
      <c r="N11" s="29" t="s">
        <v>399</v>
      </c>
      <c r="O11" s="29" t="s">
        <v>399</v>
      </c>
      <c r="P11" s="110" t="s">
        <v>399</v>
      </c>
      <c r="Q11" s="35"/>
    </row>
    <row r="12" spans="1:17" x14ac:dyDescent="0.25">
      <c r="A12" s="108">
        <v>2</v>
      </c>
      <c r="B12" s="108" t="s">
        <v>410</v>
      </c>
      <c r="C12" s="106">
        <v>1</v>
      </c>
      <c r="D12" s="107" t="s">
        <v>413</v>
      </c>
      <c r="E12" s="107" t="s">
        <v>414</v>
      </c>
      <c r="F12" s="106">
        <v>5</v>
      </c>
      <c r="G12" s="106">
        <v>5</v>
      </c>
      <c r="H12" s="63" t="s">
        <v>415</v>
      </c>
      <c r="I12" s="33" t="s">
        <v>718</v>
      </c>
      <c r="J12" s="64" t="s">
        <v>718</v>
      </c>
      <c r="K12" s="109" t="s">
        <v>775</v>
      </c>
      <c r="L12" s="36"/>
      <c r="M12" s="29" t="s">
        <v>399</v>
      </c>
      <c r="N12" s="29" t="s">
        <v>399</v>
      </c>
      <c r="O12" s="29" t="s">
        <v>399</v>
      </c>
      <c r="P12" s="110" t="s">
        <v>399</v>
      </c>
      <c r="Q12" s="35"/>
    </row>
    <row r="13" spans="1:17" x14ac:dyDescent="0.25">
      <c r="A13" s="108">
        <v>3</v>
      </c>
      <c r="B13" s="108" t="s">
        <v>410</v>
      </c>
      <c r="C13" s="106">
        <v>1</v>
      </c>
      <c r="D13" s="107" t="s">
        <v>411</v>
      </c>
      <c r="E13" s="107" t="s">
        <v>416</v>
      </c>
      <c r="F13" s="106">
        <v>1</v>
      </c>
      <c r="G13" s="106">
        <v>1</v>
      </c>
      <c r="H13" s="63" t="s">
        <v>417</v>
      </c>
      <c r="I13" s="33" t="s">
        <v>718</v>
      </c>
      <c r="J13" s="64" t="s">
        <v>718</v>
      </c>
      <c r="K13" s="109" t="s">
        <v>779</v>
      </c>
      <c r="L13" s="36"/>
      <c r="M13" s="29" t="s">
        <v>399</v>
      </c>
      <c r="N13" s="29" t="s">
        <v>399</v>
      </c>
      <c r="O13" s="29" t="s">
        <v>399</v>
      </c>
      <c r="P13" s="110" t="s">
        <v>399</v>
      </c>
      <c r="Q13" s="35"/>
    </row>
    <row r="14" spans="1:17" x14ac:dyDescent="0.25">
      <c r="A14" s="108">
        <v>4</v>
      </c>
      <c r="B14" s="108" t="s">
        <v>410</v>
      </c>
      <c r="C14" s="106">
        <v>1</v>
      </c>
      <c r="D14" s="107" t="s">
        <v>411</v>
      </c>
      <c r="E14" s="107" t="s">
        <v>418</v>
      </c>
      <c r="F14" s="106">
        <v>1</v>
      </c>
      <c r="G14" s="106">
        <v>1</v>
      </c>
      <c r="H14" s="63" t="s">
        <v>419</v>
      </c>
      <c r="I14" s="33" t="s">
        <v>718</v>
      </c>
      <c r="J14" s="64" t="s">
        <v>718</v>
      </c>
      <c r="K14" s="109" t="s">
        <v>782</v>
      </c>
      <c r="L14" s="36"/>
      <c r="M14" s="29" t="s">
        <v>399</v>
      </c>
      <c r="N14" s="29" t="s">
        <v>399</v>
      </c>
      <c r="O14" s="29" t="s">
        <v>399</v>
      </c>
      <c r="P14" s="110" t="s">
        <v>399</v>
      </c>
      <c r="Q14" s="35"/>
    </row>
    <row r="15" spans="1:17" x14ac:dyDescent="0.25">
      <c r="A15" s="108">
        <v>5</v>
      </c>
      <c r="B15" s="108" t="s">
        <v>410</v>
      </c>
      <c r="C15" s="106">
        <v>1</v>
      </c>
      <c r="D15" s="107" t="s">
        <v>411</v>
      </c>
      <c r="E15" s="107" t="s">
        <v>420</v>
      </c>
      <c r="F15" s="106">
        <v>1</v>
      </c>
      <c r="G15" s="106">
        <v>1</v>
      </c>
      <c r="H15" s="63" t="s">
        <v>421</v>
      </c>
      <c r="I15" s="33" t="s">
        <v>718</v>
      </c>
      <c r="J15" s="64" t="s">
        <v>718</v>
      </c>
      <c r="K15" s="109" t="s">
        <v>778</v>
      </c>
      <c r="L15" s="36"/>
      <c r="M15" s="29" t="s">
        <v>399</v>
      </c>
      <c r="N15" s="29" t="s">
        <v>399</v>
      </c>
      <c r="O15" s="29" t="s">
        <v>399</v>
      </c>
      <c r="P15" s="110" t="s">
        <v>399</v>
      </c>
      <c r="Q15" s="35"/>
    </row>
    <row r="16" spans="1:17" x14ac:dyDescent="0.25">
      <c r="A16" s="108">
        <v>6</v>
      </c>
      <c r="B16" s="108" t="s">
        <v>410</v>
      </c>
      <c r="C16" s="106">
        <v>1</v>
      </c>
      <c r="D16" s="107" t="s">
        <v>411</v>
      </c>
      <c r="E16" s="107" t="s">
        <v>422</v>
      </c>
      <c r="F16" s="106">
        <v>1</v>
      </c>
      <c r="G16" s="106">
        <v>1</v>
      </c>
      <c r="H16" s="63" t="s">
        <v>423</v>
      </c>
      <c r="I16" s="33" t="s">
        <v>718</v>
      </c>
      <c r="J16" s="64" t="s">
        <v>718</v>
      </c>
      <c r="K16" s="109" t="s">
        <v>780</v>
      </c>
      <c r="L16" s="36"/>
      <c r="M16" s="29" t="s">
        <v>399</v>
      </c>
      <c r="N16" s="29" t="s">
        <v>399</v>
      </c>
      <c r="O16" s="29" t="s">
        <v>399</v>
      </c>
      <c r="P16" s="110" t="s">
        <v>399</v>
      </c>
      <c r="Q16" s="35"/>
    </row>
    <row r="17" spans="1:17" x14ac:dyDescent="0.25">
      <c r="A17" s="108">
        <v>7</v>
      </c>
      <c r="B17" s="108" t="s">
        <v>410</v>
      </c>
      <c r="C17" s="106">
        <v>1</v>
      </c>
      <c r="D17" s="107" t="s">
        <v>411</v>
      </c>
      <c r="E17" s="107" t="s">
        <v>424</v>
      </c>
      <c r="F17" s="106">
        <v>1</v>
      </c>
      <c r="G17" s="106">
        <v>1</v>
      </c>
      <c r="H17" s="63" t="s">
        <v>425</v>
      </c>
      <c r="I17" s="33" t="s">
        <v>718</v>
      </c>
      <c r="J17" s="64" t="s">
        <v>718</v>
      </c>
      <c r="K17" s="109" t="s">
        <v>781</v>
      </c>
      <c r="L17" s="36"/>
      <c r="M17" s="29" t="s">
        <v>399</v>
      </c>
      <c r="N17" s="29" t="s">
        <v>399</v>
      </c>
      <c r="O17" s="29" t="s">
        <v>399</v>
      </c>
      <c r="P17" s="110" t="s">
        <v>399</v>
      </c>
      <c r="Q17" s="35"/>
    </row>
    <row r="18" spans="1:17" x14ac:dyDescent="0.25">
      <c r="A18" s="108">
        <v>8</v>
      </c>
      <c r="B18" s="108" t="s">
        <v>410</v>
      </c>
      <c r="C18" s="106">
        <v>1</v>
      </c>
      <c r="D18" s="107" t="s">
        <v>411</v>
      </c>
      <c r="E18" s="107" t="s">
        <v>426</v>
      </c>
      <c r="F18" s="106">
        <v>1</v>
      </c>
      <c r="G18" s="106">
        <v>1</v>
      </c>
      <c r="H18" s="63" t="s">
        <v>427</v>
      </c>
      <c r="I18" s="33" t="s">
        <v>718</v>
      </c>
      <c r="J18" s="64" t="s">
        <v>718</v>
      </c>
      <c r="K18" s="109" t="s">
        <v>776</v>
      </c>
      <c r="L18" s="36"/>
      <c r="M18" s="29" t="s">
        <v>399</v>
      </c>
      <c r="N18" s="29" t="s">
        <v>399</v>
      </c>
      <c r="O18" s="29" t="s">
        <v>399</v>
      </c>
      <c r="P18" s="110" t="s">
        <v>399</v>
      </c>
      <c r="Q18" s="35"/>
    </row>
    <row r="19" spans="1:17" x14ac:dyDescent="0.25">
      <c r="A19" s="108">
        <v>9</v>
      </c>
      <c r="B19" s="108" t="s">
        <v>410</v>
      </c>
      <c r="C19" s="106">
        <v>1</v>
      </c>
      <c r="D19" s="107" t="s">
        <v>411</v>
      </c>
      <c r="E19" s="107" t="s">
        <v>428</v>
      </c>
      <c r="F19" s="106">
        <v>1</v>
      </c>
      <c r="G19" s="106">
        <v>1</v>
      </c>
      <c r="H19" s="63" t="s">
        <v>419</v>
      </c>
      <c r="I19" s="33" t="s">
        <v>718</v>
      </c>
      <c r="J19" s="64" t="s">
        <v>718</v>
      </c>
      <c r="K19" s="109" t="s">
        <v>783</v>
      </c>
      <c r="L19" s="36"/>
      <c r="M19" s="29" t="s">
        <v>399</v>
      </c>
      <c r="N19" s="29" t="s">
        <v>399</v>
      </c>
      <c r="O19" s="29" t="s">
        <v>399</v>
      </c>
      <c r="P19" s="110" t="s">
        <v>399</v>
      </c>
      <c r="Q19" s="35"/>
    </row>
    <row r="20" spans="1:17" ht="27" x14ac:dyDescent="0.25">
      <c r="A20" s="108">
        <v>10</v>
      </c>
      <c r="B20" s="108" t="s">
        <v>410</v>
      </c>
      <c r="C20" s="106">
        <v>1</v>
      </c>
      <c r="D20" s="107" t="s">
        <v>727</v>
      </c>
      <c r="E20" s="107" t="s">
        <v>728</v>
      </c>
      <c r="F20" s="106">
        <v>3</v>
      </c>
      <c r="G20" s="106">
        <v>0</v>
      </c>
      <c r="H20" s="63" t="s">
        <v>729</v>
      </c>
      <c r="I20" s="33" t="s">
        <v>718</v>
      </c>
      <c r="J20" s="64" t="s">
        <v>718</v>
      </c>
      <c r="K20" s="109" t="s">
        <v>730</v>
      </c>
      <c r="L20" s="36" t="s">
        <v>718</v>
      </c>
      <c r="M20" s="29" t="s">
        <v>726</v>
      </c>
      <c r="N20" s="29" t="s">
        <v>399</v>
      </c>
      <c r="O20" s="29" t="s">
        <v>399</v>
      </c>
      <c r="P20" s="110" t="s">
        <v>399</v>
      </c>
      <c r="Q20" s="35"/>
    </row>
    <row r="21" spans="1:17" x14ac:dyDescent="0.25">
      <c r="A21" s="108">
        <v>11</v>
      </c>
      <c r="B21" s="108" t="s">
        <v>410</v>
      </c>
      <c r="C21" s="106">
        <v>1</v>
      </c>
      <c r="D21" s="107" t="s">
        <v>975</v>
      </c>
      <c r="E21" s="107" t="s">
        <v>974</v>
      </c>
      <c r="F21" s="106">
        <v>2</v>
      </c>
      <c r="G21" s="106">
        <v>0</v>
      </c>
      <c r="H21" s="63" t="s">
        <v>1176</v>
      </c>
      <c r="I21" s="33" t="s">
        <v>718</v>
      </c>
      <c r="J21" s="64" t="s">
        <v>718</v>
      </c>
      <c r="K21" s="109" t="s">
        <v>961</v>
      </c>
      <c r="L21" s="36" t="s">
        <v>718</v>
      </c>
      <c r="M21" s="29" t="s">
        <v>726</v>
      </c>
      <c r="N21" s="29" t="s">
        <v>399</v>
      </c>
      <c r="O21" s="29" t="s">
        <v>399</v>
      </c>
      <c r="P21" s="110" t="s">
        <v>399</v>
      </c>
      <c r="Q21" s="35"/>
    </row>
    <row r="22" spans="1:17" x14ac:dyDescent="0.25">
      <c r="A22" s="108">
        <v>12</v>
      </c>
      <c r="B22" s="108" t="s">
        <v>410</v>
      </c>
      <c r="C22" s="106">
        <v>1</v>
      </c>
      <c r="D22" s="107" t="s">
        <v>429</v>
      </c>
      <c r="E22" s="107" t="s">
        <v>430</v>
      </c>
      <c r="F22" s="106">
        <v>1</v>
      </c>
      <c r="G22" s="106">
        <v>1</v>
      </c>
      <c r="H22" s="63" t="s">
        <v>431</v>
      </c>
      <c r="I22" s="33" t="s">
        <v>718</v>
      </c>
      <c r="J22" s="64" t="s">
        <v>718</v>
      </c>
      <c r="K22" s="109" t="s">
        <v>784</v>
      </c>
      <c r="L22" s="36"/>
      <c r="M22" s="29" t="s">
        <v>399</v>
      </c>
      <c r="N22" s="29" t="s">
        <v>399</v>
      </c>
      <c r="O22" s="29" t="s">
        <v>399</v>
      </c>
      <c r="P22" s="110" t="s">
        <v>399</v>
      </c>
      <c r="Q22" s="35"/>
    </row>
    <row r="23" spans="1:17" x14ac:dyDescent="0.25">
      <c r="A23" s="108">
        <v>13</v>
      </c>
      <c r="B23" s="108" t="s">
        <v>410</v>
      </c>
      <c r="C23" s="106">
        <v>1</v>
      </c>
      <c r="D23" s="107" t="s">
        <v>429</v>
      </c>
      <c r="E23" s="107" t="s">
        <v>432</v>
      </c>
      <c r="F23" s="106">
        <v>1</v>
      </c>
      <c r="G23" s="106">
        <v>1</v>
      </c>
      <c r="H23" s="63" t="s">
        <v>433</v>
      </c>
      <c r="I23" s="33" t="s">
        <v>718</v>
      </c>
      <c r="J23" s="64" t="s">
        <v>718</v>
      </c>
      <c r="K23" s="109" t="s">
        <v>785</v>
      </c>
      <c r="L23" s="36"/>
      <c r="M23" s="29" t="s">
        <v>399</v>
      </c>
      <c r="N23" s="29" t="s">
        <v>399</v>
      </c>
      <c r="O23" s="29" t="s">
        <v>399</v>
      </c>
      <c r="P23" s="110" t="s">
        <v>399</v>
      </c>
      <c r="Q23" s="35"/>
    </row>
    <row r="24" spans="1:17" x14ac:dyDescent="0.25">
      <c r="A24" s="108">
        <v>14</v>
      </c>
      <c r="B24" s="108" t="s">
        <v>410</v>
      </c>
      <c r="C24" s="106">
        <v>1</v>
      </c>
      <c r="D24" s="107" t="s">
        <v>36</v>
      </c>
      <c r="E24" s="107" t="s">
        <v>37</v>
      </c>
      <c r="F24" s="106">
        <v>2</v>
      </c>
      <c r="G24" s="106">
        <v>2</v>
      </c>
      <c r="H24" s="63" t="s">
        <v>434</v>
      </c>
      <c r="I24" s="33" t="s">
        <v>718</v>
      </c>
      <c r="J24" s="64" t="s">
        <v>718</v>
      </c>
      <c r="K24" s="109" t="s">
        <v>786</v>
      </c>
      <c r="L24" s="36"/>
      <c r="M24" s="29" t="s">
        <v>726</v>
      </c>
      <c r="N24" s="29" t="s">
        <v>399</v>
      </c>
      <c r="O24" s="29" t="s">
        <v>399</v>
      </c>
      <c r="P24" s="110" t="s">
        <v>399</v>
      </c>
      <c r="Q24" s="35"/>
    </row>
    <row r="25" spans="1:17" x14ac:dyDescent="0.25">
      <c r="A25" s="108">
        <v>15</v>
      </c>
      <c r="B25" s="108" t="s">
        <v>410</v>
      </c>
      <c r="C25" s="106">
        <v>1</v>
      </c>
      <c r="D25" s="107" t="s">
        <v>133</v>
      </c>
      <c r="E25" s="107" t="s">
        <v>134</v>
      </c>
      <c r="F25" s="106">
        <v>1</v>
      </c>
      <c r="G25" s="106">
        <v>1</v>
      </c>
      <c r="H25" s="63" t="s">
        <v>132</v>
      </c>
      <c r="I25" s="33" t="s">
        <v>718</v>
      </c>
      <c r="J25" s="64" t="s">
        <v>718</v>
      </c>
      <c r="K25" s="109" t="s">
        <v>787</v>
      </c>
      <c r="L25" s="36"/>
      <c r="M25" s="29" t="s">
        <v>726</v>
      </c>
      <c r="N25" s="29" t="s">
        <v>399</v>
      </c>
      <c r="O25" s="29" t="s">
        <v>399</v>
      </c>
      <c r="P25" s="110" t="s">
        <v>399</v>
      </c>
      <c r="Q25" s="35"/>
    </row>
    <row r="26" spans="1:17" x14ac:dyDescent="0.25">
      <c r="A26" s="108">
        <v>16</v>
      </c>
      <c r="B26" s="108" t="s">
        <v>410</v>
      </c>
      <c r="C26" s="106">
        <v>1</v>
      </c>
      <c r="D26" s="107" t="s">
        <v>5</v>
      </c>
      <c r="E26" s="107" t="s">
        <v>6</v>
      </c>
      <c r="F26" s="106">
        <v>4</v>
      </c>
      <c r="G26" s="106">
        <v>4</v>
      </c>
      <c r="H26" s="63" t="s">
        <v>788</v>
      </c>
      <c r="I26" s="33" t="s">
        <v>718</v>
      </c>
      <c r="J26" s="64" t="s">
        <v>718</v>
      </c>
      <c r="K26" s="109" t="s">
        <v>919</v>
      </c>
      <c r="L26" s="36"/>
      <c r="M26" s="29" t="s">
        <v>726</v>
      </c>
      <c r="N26" s="29" t="s">
        <v>399</v>
      </c>
      <c r="O26" s="29" t="s">
        <v>399</v>
      </c>
      <c r="P26" s="110" t="s">
        <v>399</v>
      </c>
      <c r="Q26" s="35"/>
    </row>
    <row r="27" spans="1:17" x14ac:dyDescent="0.25">
      <c r="A27" s="108">
        <v>17</v>
      </c>
      <c r="B27" s="108" t="s">
        <v>410</v>
      </c>
      <c r="C27" s="106">
        <v>1</v>
      </c>
      <c r="D27" s="107" t="s">
        <v>5</v>
      </c>
      <c r="E27" s="107" t="s">
        <v>79</v>
      </c>
      <c r="F27" s="106">
        <v>2</v>
      </c>
      <c r="G27" s="106">
        <v>2</v>
      </c>
      <c r="H27" s="63" t="s">
        <v>436</v>
      </c>
      <c r="I27" s="33" t="s">
        <v>718</v>
      </c>
      <c r="J27" s="64" t="s">
        <v>718</v>
      </c>
      <c r="K27" s="109" t="s">
        <v>800</v>
      </c>
      <c r="L27" s="36"/>
      <c r="M27" s="29" t="s">
        <v>726</v>
      </c>
      <c r="N27" s="29" t="s">
        <v>399</v>
      </c>
      <c r="O27" s="29" t="s">
        <v>399</v>
      </c>
      <c r="P27" s="110" t="s">
        <v>399</v>
      </c>
      <c r="Q27" s="35"/>
    </row>
    <row r="28" spans="1:17" x14ac:dyDescent="0.25">
      <c r="A28" s="108">
        <v>18</v>
      </c>
      <c r="B28" s="108" t="s">
        <v>410</v>
      </c>
      <c r="C28" s="106">
        <v>1</v>
      </c>
      <c r="D28" s="107" t="s">
        <v>5</v>
      </c>
      <c r="E28" s="107" t="s">
        <v>437</v>
      </c>
      <c r="F28" s="106">
        <v>2</v>
      </c>
      <c r="G28" s="106">
        <v>2</v>
      </c>
      <c r="H28" s="63" t="s">
        <v>438</v>
      </c>
      <c r="I28" s="33" t="s">
        <v>718</v>
      </c>
      <c r="J28" s="64" t="s">
        <v>718</v>
      </c>
      <c r="K28" s="109" t="s">
        <v>795</v>
      </c>
      <c r="L28" s="36"/>
      <c r="M28" s="29" t="s">
        <v>726</v>
      </c>
      <c r="N28" s="29" t="s">
        <v>399</v>
      </c>
      <c r="O28" s="29" t="s">
        <v>399</v>
      </c>
      <c r="P28" s="110" t="s">
        <v>399</v>
      </c>
      <c r="Q28" s="35"/>
    </row>
    <row r="29" spans="1:17" ht="27" x14ac:dyDescent="0.25">
      <c r="A29" s="108">
        <v>19</v>
      </c>
      <c r="B29" s="108" t="s">
        <v>719</v>
      </c>
      <c r="C29" s="106">
        <v>1</v>
      </c>
      <c r="D29" s="107" t="s">
        <v>5</v>
      </c>
      <c r="E29" s="107" t="s">
        <v>67</v>
      </c>
      <c r="F29" s="106">
        <v>6</v>
      </c>
      <c r="G29" s="106">
        <v>6</v>
      </c>
      <c r="H29" s="63" t="s">
        <v>439</v>
      </c>
      <c r="I29" s="33" t="s">
        <v>718</v>
      </c>
      <c r="J29" s="64" t="s">
        <v>714</v>
      </c>
      <c r="K29" s="109" t="s">
        <v>715</v>
      </c>
      <c r="L29" s="36"/>
      <c r="M29" s="29" t="s">
        <v>726</v>
      </c>
      <c r="N29" s="29" t="s">
        <v>399</v>
      </c>
      <c r="O29" s="29" t="s">
        <v>399</v>
      </c>
      <c r="P29" s="110" t="s">
        <v>399</v>
      </c>
      <c r="Q29" s="35"/>
    </row>
    <row r="30" spans="1:17" x14ac:dyDescent="0.25">
      <c r="A30" s="108">
        <v>20</v>
      </c>
      <c r="B30" s="108" t="s">
        <v>720</v>
      </c>
      <c r="C30" s="106">
        <v>1</v>
      </c>
      <c r="D30" s="107" t="s">
        <v>5</v>
      </c>
      <c r="E30" s="107" t="s">
        <v>19</v>
      </c>
      <c r="F30" s="106">
        <v>1</v>
      </c>
      <c r="G30" s="106">
        <v>1</v>
      </c>
      <c r="H30" s="63" t="s">
        <v>789</v>
      </c>
      <c r="I30" s="33" t="s">
        <v>594</v>
      </c>
      <c r="J30" s="64" t="s">
        <v>718</v>
      </c>
      <c r="K30" s="109" t="s">
        <v>662</v>
      </c>
      <c r="L30" s="36"/>
      <c r="M30" s="29" t="s">
        <v>726</v>
      </c>
      <c r="N30" s="29" t="s">
        <v>399</v>
      </c>
      <c r="O30" s="29" t="s">
        <v>399</v>
      </c>
      <c r="P30" s="110" t="s">
        <v>399</v>
      </c>
      <c r="Q30" s="35"/>
    </row>
    <row r="31" spans="1:17" x14ac:dyDescent="0.25">
      <c r="A31" s="108">
        <v>21</v>
      </c>
      <c r="B31" s="108" t="s">
        <v>720</v>
      </c>
      <c r="C31" s="106">
        <v>1</v>
      </c>
      <c r="D31" s="107" t="s">
        <v>5</v>
      </c>
      <c r="E31" s="107" t="s">
        <v>440</v>
      </c>
      <c r="F31" s="106">
        <v>1</v>
      </c>
      <c r="G31" s="106">
        <v>1</v>
      </c>
      <c r="H31" s="63" t="s">
        <v>789</v>
      </c>
      <c r="I31" s="33" t="s">
        <v>594</v>
      </c>
      <c r="J31" s="64" t="s">
        <v>718</v>
      </c>
      <c r="K31" s="109" t="s">
        <v>663</v>
      </c>
      <c r="L31" s="36"/>
      <c r="M31" s="29" t="s">
        <v>399</v>
      </c>
      <c r="N31" s="29" t="s">
        <v>399</v>
      </c>
      <c r="O31" s="29" t="s">
        <v>399</v>
      </c>
      <c r="P31" s="110" t="s">
        <v>399</v>
      </c>
      <c r="Q31" s="35"/>
    </row>
    <row r="32" spans="1:17" x14ac:dyDescent="0.25">
      <c r="A32" s="108">
        <v>22</v>
      </c>
      <c r="B32" s="108" t="s">
        <v>720</v>
      </c>
      <c r="C32" s="106">
        <v>1</v>
      </c>
      <c r="D32" s="107" t="s">
        <v>5</v>
      </c>
      <c r="E32" s="107" t="s">
        <v>21</v>
      </c>
      <c r="F32" s="106">
        <v>1</v>
      </c>
      <c r="G32" s="106">
        <v>1</v>
      </c>
      <c r="H32" s="63" t="s">
        <v>798</v>
      </c>
      <c r="I32" s="33" t="s">
        <v>594</v>
      </c>
      <c r="J32" s="64" t="s">
        <v>718</v>
      </c>
      <c r="K32" s="109" t="s">
        <v>664</v>
      </c>
      <c r="L32" s="36"/>
      <c r="M32" s="29" t="s">
        <v>726</v>
      </c>
      <c r="N32" s="29" t="s">
        <v>399</v>
      </c>
      <c r="O32" s="29" t="s">
        <v>399</v>
      </c>
      <c r="P32" s="110" t="s">
        <v>399</v>
      </c>
      <c r="Q32" s="35"/>
    </row>
    <row r="33" spans="1:17" ht="54" x14ac:dyDescent="0.25">
      <c r="A33" s="108">
        <v>23</v>
      </c>
      <c r="B33" s="108" t="s">
        <v>720</v>
      </c>
      <c r="C33" s="106">
        <v>1</v>
      </c>
      <c r="D33" s="107" t="s">
        <v>5</v>
      </c>
      <c r="E33" s="107" t="s">
        <v>31</v>
      </c>
      <c r="F33" s="106">
        <v>10</v>
      </c>
      <c r="G33" s="106">
        <v>10</v>
      </c>
      <c r="H33" s="63" t="s">
        <v>791</v>
      </c>
      <c r="I33" s="33" t="s">
        <v>627</v>
      </c>
      <c r="J33" s="64" t="s">
        <v>718</v>
      </c>
      <c r="K33" s="109" t="s">
        <v>665</v>
      </c>
      <c r="L33" s="36"/>
      <c r="M33" s="29" t="s">
        <v>726</v>
      </c>
      <c r="N33" s="29" t="s">
        <v>399</v>
      </c>
      <c r="O33" s="29" t="s">
        <v>399</v>
      </c>
      <c r="P33" s="110" t="s">
        <v>399</v>
      </c>
      <c r="Q33" s="35"/>
    </row>
    <row r="34" spans="1:17" ht="40.5" x14ac:dyDescent="0.25">
      <c r="A34" s="108">
        <v>24</v>
      </c>
      <c r="B34" s="108" t="s">
        <v>720</v>
      </c>
      <c r="C34" s="106">
        <v>1</v>
      </c>
      <c r="D34" s="107" t="s">
        <v>5</v>
      </c>
      <c r="E34" s="107" t="s">
        <v>22</v>
      </c>
      <c r="F34" s="106">
        <v>7</v>
      </c>
      <c r="G34" s="106">
        <v>7</v>
      </c>
      <c r="H34" s="63" t="s">
        <v>796</v>
      </c>
      <c r="I34" s="33" t="s">
        <v>666</v>
      </c>
      <c r="J34" s="64" t="s">
        <v>718</v>
      </c>
      <c r="K34" s="109" t="s">
        <v>667</v>
      </c>
      <c r="L34" s="36"/>
      <c r="M34" s="29" t="s">
        <v>726</v>
      </c>
      <c r="N34" s="29" t="s">
        <v>399</v>
      </c>
      <c r="O34" s="29" t="s">
        <v>399</v>
      </c>
      <c r="P34" s="110" t="s">
        <v>399</v>
      </c>
      <c r="Q34" s="35"/>
    </row>
    <row r="35" spans="1:17" x14ac:dyDescent="0.25">
      <c r="A35" s="108">
        <v>25</v>
      </c>
      <c r="B35" s="108" t="s">
        <v>410</v>
      </c>
      <c r="C35" s="106">
        <v>1</v>
      </c>
      <c r="D35" s="107" t="s">
        <v>441</v>
      </c>
      <c r="E35" s="107" t="s">
        <v>442</v>
      </c>
      <c r="F35" s="106">
        <v>2</v>
      </c>
      <c r="G35" s="106">
        <v>2</v>
      </c>
      <c r="H35" s="63" t="s">
        <v>125</v>
      </c>
      <c r="I35" s="33" t="s">
        <v>718</v>
      </c>
      <c r="J35" s="64" t="s">
        <v>718</v>
      </c>
      <c r="K35" s="109"/>
      <c r="L35" s="36" t="s">
        <v>718</v>
      </c>
      <c r="M35" s="29" t="s">
        <v>399</v>
      </c>
      <c r="N35" s="29" t="s">
        <v>399</v>
      </c>
      <c r="O35" s="29" t="s">
        <v>399</v>
      </c>
      <c r="P35" s="110" t="s">
        <v>399</v>
      </c>
      <c r="Q35" s="35"/>
    </row>
    <row r="36" spans="1:17" x14ac:dyDescent="0.25">
      <c r="A36" s="108">
        <v>26</v>
      </c>
      <c r="B36" s="108" t="s">
        <v>410</v>
      </c>
      <c r="C36" s="106">
        <v>1</v>
      </c>
      <c r="D36" s="107" t="s">
        <v>441</v>
      </c>
      <c r="E36" s="107" t="s">
        <v>443</v>
      </c>
      <c r="F36" s="106">
        <v>2</v>
      </c>
      <c r="G36" s="106">
        <v>2</v>
      </c>
      <c r="H36" s="63" t="s">
        <v>125</v>
      </c>
      <c r="I36" s="33" t="s">
        <v>718</v>
      </c>
      <c r="J36" s="64" t="s">
        <v>718</v>
      </c>
      <c r="K36" s="109"/>
      <c r="L36" s="36" t="s">
        <v>718</v>
      </c>
      <c r="M36" s="29" t="s">
        <v>399</v>
      </c>
      <c r="N36" s="29" t="s">
        <v>399</v>
      </c>
      <c r="O36" s="29" t="s">
        <v>399</v>
      </c>
      <c r="P36" s="110" t="s">
        <v>399</v>
      </c>
      <c r="Q36" s="35"/>
    </row>
    <row r="37" spans="1:17" x14ac:dyDescent="0.25">
      <c r="A37" s="108">
        <v>27</v>
      </c>
      <c r="B37" s="108" t="s">
        <v>410</v>
      </c>
      <c r="C37" s="106">
        <v>1</v>
      </c>
      <c r="D37" s="107" t="s">
        <v>444</v>
      </c>
      <c r="E37" s="107">
        <v>1353605</v>
      </c>
      <c r="F37" s="106">
        <v>1</v>
      </c>
      <c r="G37" s="106">
        <v>1</v>
      </c>
      <c r="H37" s="63" t="s">
        <v>445</v>
      </c>
      <c r="I37" s="33" t="s">
        <v>718</v>
      </c>
      <c r="J37" s="64" t="s">
        <v>718</v>
      </c>
      <c r="K37" s="109" t="s">
        <v>801</v>
      </c>
      <c r="L37" s="36" t="s">
        <v>718</v>
      </c>
      <c r="M37" s="29" t="s">
        <v>399</v>
      </c>
      <c r="N37" s="29" t="s">
        <v>399</v>
      </c>
      <c r="O37" s="29" t="s">
        <v>399</v>
      </c>
      <c r="P37" s="110" t="s">
        <v>399</v>
      </c>
      <c r="Q37" s="35"/>
    </row>
    <row r="38" spans="1:17" x14ac:dyDescent="0.25">
      <c r="A38" s="108">
        <v>28</v>
      </c>
      <c r="B38" s="108" t="s">
        <v>410</v>
      </c>
      <c r="C38" s="106">
        <v>1</v>
      </c>
      <c r="D38" s="107" t="s">
        <v>444</v>
      </c>
      <c r="E38" s="107" t="s">
        <v>446</v>
      </c>
      <c r="F38" s="106">
        <v>3</v>
      </c>
      <c r="G38" s="106">
        <v>3</v>
      </c>
      <c r="H38" s="63" t="s">
        <v>802</v>
      </c>
      <c r="I38" s="33" t="s">
        <v>718</v>
      </c>
      <c r="J38" s="64" t="s">
        <v>718</v>
      </c>
      <c r="K38" s="109" t="s">
        <v>803</v>
      </c>
      <c r="L38" s="36" t="s">
        <v>718</v>
      </c>
      <c r="M38" s="29" t="s">
        <v>399</v>
      </c>
      <c r="N38" s="29" t="s">
        <v>399</v>
      </c>
      <c r="O38" s="29" t="s">
        <v>399</v>
      </c>
      <c r="P38" s="110" t="s">
        <v>399</v>
      </c>
      <c r="Q38" s="35"/>
    </row>
    <row r="39" spans="1:17" x14ac:dyDescent="0.25">
      <c r="A39" s="108">
        <v>29</v>
      </c>
      <c r="B39" s="108" t="s">
        <v>410</v>
      </c>
      <c r="C39" s="106">
        <v>1</v>
      </c>
      <c r="D39" s="107" t="s">
        <v>444</v>
      </c>
      <c r="E39" s="107" t="s">
        <v>447</v>
      </c>
      <c r="F39" s="106">
        <v>3</v>
      </c>
      <c r="G39" s="106">
        <v>3</v>
      </c>
      <c r="H39" s="63" t="s">
        <v>802</v>
      </c>
      <c r="I39" s="33" t="s">
        <v>718</v>
      </c>
      <c r="J39" s="64" t="s">
        <v>718</v>
      </c>
      <c r="K39" s="109" t="s">
        <v>804</v>
      </c>
      <c r="L39" s="36" t="s">
        <v>718</v>
      </c>
      <c r="M39" s="29" t="s">
        <v>399</v>
      </c>
      <c r="N39" s="29" t="s">
        <v>399</v>
      </c>
      <c r="O39" s="29" t="s">
        <v>399</v>
      </c>
      <c r="P39" s="110" t="s">
        <v>399</v>
      </c>
      <c r="Q39" s="35"/>
    </row>
    <row r="40" spans="1:17" x14ac:dyDescent="0.25">
      <c r="A40" s="108">
        <v>30</v>
      </c>
      <c r="B40" s="108" t="s">
        <v>410</v>
      </c>
      <c r="C40" s="106">
        <v>1</v>
      </c>
      <c r="D40" s="107" t="s">
        <v>444</v>
      </c>
      <c r="E40" s="107" t="s">
        <v>448</v>
      </c>
      <c r="F40" s="106">
        <v>3</v>
      </c>
      <c r="G40" s="106">
        <v>3</v>
      </c>
      <c r="H40" s="63" t="s">
        <v>445</v>
      </c>
      <c r="I40" s="33" t="s">
        <v>718</v>
      </c>
      <c r="J40" s="64" t="s">
        <v>718</v>
      </c>
      <c r="K40" s="109" t="s">
        <v>805</v>
      </c>
      <c r="L40" s="36" t="s">
        <v>718</v>
      </c>
      <c r="M40" s="29" t="s">
        <v>399</v>
      </c>
      <c r="N40" s="29" t="s">
        <v>399</v>
      </c>
      <c r="O40" s="29" t="s">
        <v>399</v>
      </c>
      <c r="P40" s="110" t="s">
        <v>399</v>
      </c>
      <c r="Q40" s="35"/>
    </row>
    <row r="41" spans="1:17" x14ac:dyDescent="0.25">
      <c r="A41" s="108">
        <v>31</v>
      </c>
      <c r="B41" s="108" t="s">
        <v>410</v>
      </c>
      <c r="C41" s="106">
        <v>1</v>
      </c>
      <c r="D41" s="107" t="s">
        <v>449</v>
      </c>
      <c r="E41" s="107" t="s">
        <v>450</v>
      </c>
      <c r="F41" s="106">
        <v>3</v>
      </c>
      <c r="G41" s="106">
        <v>3</v>
      </c>
      <c r="H41" s="63" t="s">
        <v>451</v>
      </c>
      <c r="I41" s="33" t="s">
        <v>718</v>
      </c>
      <c r="J41" s="64" t="s">
        <v>718</v>
      </c>
      <c r="K41" s="109" t="s">
        <v>807</v>
      </c>
      <c r="L41" s="36" t="s">
        <v>718</v>
      </c>
      <c r="M41" s="29" t="s">
        <v>399</v>
      </c>
      <c r="N41" s="29" t="s">
        <v>399</v>
      </c>
      <c r="O41" s="29" t="s">
        <v>399</v>
      </c>
      <c r="P41" s="110" t="s">
        <v>399</v>
      </c>
      <c r="Q41" s="35"/>
    </row>
    <row r="42" spans="1:17" x14ac:dyDescent="0.25">
      <c r="A42" s="108">
        <v>32</v>
      </c>
      <c r="B42" s="108" t="s">
        <v>410</v>
      </c>
      <c r="C42" s="106">
        <v>1</v>
      </c>
      <c r="D42" s="107" t="s">
        <v>449</v>
      </c>
      <c r="E42" s="107" t="s">
        <v>452</v>
      </c>
      <c r="F42" s="106">
        <v>1</v>
      </c>
      <c r="G42" s="106">
        <v>1</v>
      </c>
      <c r="H42" s="63" t="s">
        <v>451</v>
      </c>
      <c r="I42" s="33" t="s">
        <v>718</v>
      </c>
      <c r="J42" s="64" t="s">
        <v>718</v>
      </c>
      <c r="K42" s="109" t="s">
        <v>818</v>
      </c>
      <c r="L42" s="36" t="s">
        <v>718</v>
      </c>
      <c r="M42" s="29" t="s">
        <v>399</v>
      </c>
      <c r="N42" s="29" t="s">
        <v>399</v>
      </c>
      <c r="O42" s="29" t="s">
        <v>399</v>
      </c>
      <c r="P42" s="110" t="s">
        <v>399</v>
      </c>
      <c r="Q42" s="35"/>
    </row>
    <row r="43" spans="1:17" x14ac:dyDescent="0.25">
      <c r="A43" s="108">
        <v>33</v>
      </c>
      <c r="B43" s="108" t="s">
        <v>410</v>
      </c>
      <c r="C43" s="106">
        <v>1</v>
      </c>
      <c r="D43" s="107" t="s">
        <v>449</v>
      </c>
      <c r="E43" s="107" t="s">
        <v>453</v>
      </c>
      <c r="F43" s="106">
        <v>1</v>
      </c>
      <c r="G43" s="106">
        <v>1</v>
      </c>
      <c r="H43" s="63" t="s">
        <v>451</v>
      </c>
      <c r="I43" s="33" t="s">
        <v>718</v>
      </c>
      <c r="J43" s="64" t="s">
        <v>718</v>
      </c>
      <c r="K43" s="109" t="s">
        <v>816</v>
      </c>
      <c r="L43" s="36" t="s">
        <v>718</v>
      </c>
      <c r="M43" s="29" t="s">
        <v>399</v>
      </c>
      <c r="N43" s="29" t="s">
        <v>399</v>
      </c>
      <c r="O43" s="29" t="s">
        <v>399</v>
      </c>
      <c r="P43" s="110" t="s">
        <v>399</v>
      </c>
      <c r="Q43" s="35"/>
    </row>
    <row r="44" spans="1:17" x14ac:dyDescent="0.25">
      <c r="A44" s="108">
        <v>34</v>
      </c>
      <c r="B44" s="108" t="s">
        <v>410</v>
      </c>
      <c r="C44" s="106">
        <v>1</v>
      </c>
      <c r="D44" s="107" t="s">
        <v>449</v>
      </c>
      <c r="E44" s="107" t="s">
        <v>454</v>
      </c>
      <c r="F44" s="106">
        <v>1</v>
      </c>
      <c r="G44" s="106">
        <v>1</v>
      </c>
      <c r="H44" s="63" t="s">
        <v>451</v>
      </c>
      <c r="I44" s="33" t="s">
        <v>718</v>
      </c>
      <c r="J44" s="64" t="s">
        <v>718</v>
      </c>
      <c r="K44" s="109" t="s">
        <v>819</v>
      </c>
      <c r="L44" s="36" t="s">
        <v>718</v>
      </c>
      <c r="M44" s="29" t="s">
        <v>399</v>
      </c>
      <c r="N44" s="29" t="s">
        <v>399</v>
      </c>
      <c r="O44" s="29" t="s">
        <v>399</v>
      </c>
      <c r="P44" s="110" t="s">
        <v>399</v>
      </c>
      <c r="Q44" s="35"/>
    </row>
    <row r="45" spans="1:17" x14ac:dyDescent="0.25">
      <c r="A45" s="108">
        <v>35</v>
      </c>
      <c r="B45" s="108" t="s">
        <v>410</v>
      </c>
      <c r="C45" s="106">
        <v>1</v>
      </c>
      <c r="D45" s="107" t="s">
        <v>449</v>
      </c>
      <c r="E45" s="107" t="s">
        <v>455</v>
      </c>
      <c r="F45" s="106">
        <v>1</v>
      </c>
      <c r="G45" s="106">
        <v>1</v>
      </c>
      <c r="H45" s="63" t="s">
        <v>451</v>
      </c>
      <c r="I45" s="33" t="s">
        <v>718</v>
      </c>
      <c r="J45" s="64" t="s">
        <v>718</v>
      </c>
      <c r="K45" s="109" t="s">
        <v>817</v>
      </c>
      <c r="L45" s="36" t="s">
        <v>718</v>
      </c>
      <c r="M45" s="29" t="s">
        <v>399</v>
      </c>
      <c r="N45" s="29" t="s">
        <v>399</v>
      </c>
      <c r="O45" s="29" t="s">
        <v>399</v>
      </c>
      <c r="P45" s="110" t="s">
        <v>399</v>
      </c>
      <c r="Q45" s="35"/>
    </row>
    <row r="46" spans="1:17" ht="30" x14ac:dyDescent="0.25">
      <c r="A46" s="108">
        <v>36</v>
      </c>
      <c r="B46" s="108" t="s">
        <v>410</v>
      </c>
      <c r="C46" s="106">
        <v>1</v>
      </c>
      <c r="D46" s="107" t="s">
        <v>449</v>
      </c>
      <c r="E46" s="107" t="s">
        <v>456</v>
      </c>
      <c r="F46" s="106">
        <v>4</v>
      </c>
      <c r="G46" s="106">
        <v>4</v>
      </c>
      <c r="H46" s="63" t="s">
        <v>812</v>
      </c>
      <c r="I46" s="33" t="s">
        <v>718</v>
      </c>
      <c r="J46" s="64" t="s">
        <v>718</v>
      </c>
      <c r="K46" s="109" t="s">
        <v>813</v>
      </c>
      <c r="L46" s="36" t="s">
        <v>718</v>
      </c>
      <c r="M46" s="29" t="s">
        <v>399</v>
      </c>
      <c r="N46" s="29" t="s">
        <v>399</v>
      </c>
      <c r="O46" s="29" t="s">
        <v>399</v>
      </c>
      <c r="P46" s="110" t="s">
        <v>399</v>
      </c>
      <c r="Q46" s="35"/>
    </row>
    <row r="47" spans="1:17" x14ac:dyDescent="0.25">
      <c r="A47" s="108">
        <v>37</v>
      </c>
      <c r="B47" s="108" t="s">
        <v>410</v>
      </c>
      <c r="C47" s="106">
        <v>1</v>
      </c>
      <c r="D47" s="107" t="s">
        <v>449</v>
      </c>
      <c r="E47" s="107" t="s">
        <v>457</v>
      </c>
      <c r="F47" s="106">
        <v>3</v>
      </c>
      <c r="G47" s="106">
        <v>3</v>
      </c>
      <c r="H47" s="63" t="s">
        <v>810</v>
      </c>
      <c r="I47" s="33" t="s">
        <v>718</v>
      </c>
      <c r="J47" s="64" t="s">
        <v>718</v>
      </c>
      <c r="K47" s="109" t="s">
        <v>811</v>
      </c>
      <c r="L47" s="36" t="s">
        <v>718</v>
      </c>
      <c r="M47" s="29" t="s">
        <v>399</v>
      </c>
      <c r="N47" s="29" t="s">
        <v>399</v>
      </c>
      <c r="O47" s="29" t="s">
        <v>399</v>
      </c>
      <c r="P47" s="110" t="s">
        <v>399</v>
      </c>
      <c r="Q47" s="35"/>
    </row>
    <row r="48" spans="1:17" ht="30" x14ac:dyDescent="0.25">
      <c r="A48" s="108">
        <v>38</v>
      </c>
      <c r="B48" s="108" t="s">
        <v>410</v>
      </c>
      <c r="C48" s="106">
        <v>1</v>
      </c>
      <c r="D48" s="107" t="s">
        <v>449</v>
      </c>
      <c r="E48" s="107" t="s">
        <v>458</v>
      </c>
      <c r="F48" s="106">
        <v>9</v>
      </c>
      <c r="G48" s="106">
        <v>9</v>
      </c>
      <c r="H48" s="63" t="s">
        <v>808</v>
      </c>
      <c r="I48" s="33" t="s">
        <v>718</v>
      </c>
      <c r="J48" s="64" t="s">
        <v>718</v>
      </c>
      <c r="K48" s="109" t="s">
        <v>809</v>
      </c>
      <c r="L48" s="36" t="s">
        <v>718</v>
      </c>
      <c r="M48" s="29" t="s">
        <v>399</v>
      </c>
      <c r="N48" s="29" t="s">
        <v>399</v>
      </c>
      <c r="O48" s="29" t="s">
        <v>399</v>
      </c>
      <c r="P48" s="110" t="s">
        <v>399</v>
      </c>
      <c r="Q48" s="35"/>
    </row>
    <row r="49" spans="1:17" ht="30" x14ac:dyDescent="0.25">
      <c r="A49" s="108">
        <v>39</v>
      </c>
      <c r="B49" s="108" t="s">
        <v>410</v>
      </c>
      <c r="C49" s="106">
        <v>1</v>
      </c>
      <c r="D49" s="107" t="s">
        <v>449</v>
      </c>
      <c r="E49" s="107" t="s">
        <v>459</v>
      </c>
      <c r="F49" s="106">
        <v>3</v>
      </c>
      <c r="G49" s="106">
        <v>3</v>
      </c>
      <c r="H49" s="63" t="s">
        <v>460</v>
      </c>
      <c r="I49" s="33" t="s">
        <v>718</v>
      </c>
      <c r="J49" s="64" t="s">
        <v>718</v>
      </c>
      <c r="K49" s="109" t="s">
        <v>806</v>
      </c>
      <c r="L49" s="36" t="s">
        <v>718</v>
      </c>
      <c r="M49" s="29" t="s">
        <v>399</v>
      </c>
      <c r="N49" s="29" t="s">
        <v>399</v>
      </c>
      <c r="O49" s="29" t="s">
        <v>399</v>
      </c>
      <c r="P49" s="110" t="s">
        <v>399</v>
      </c>
      <c r="Q49" s="35"/>
    </row>
    <row r="50" spans="1:17" x14ac:dyDescent="0.25">
      <c r="A50" s="108">
        <v>40</v>
      </c>
      <c r="B50" s="108" t="s">
        <v>410</v>
      </c>
      <c r="C50" s="106">
        <v>1</v>
      </c>
      <c r="D50" s="107" t="s">
        <v>449</v>
      </c>
      <c r="E50" s="107" t="s">
        <v>461</v>
      </c>
      <c r="F50" s="106">
        <v>3</v>
      </c>
      <c r="G50" s="106">
        <v>3</v>
      </c>
      <c r="H50" s="63" t="s">
        <v>814</v>
      </c>
      <c r="I50" s="33" t="s">
        <v>718</v>
      </c>
      <c r="J50" s="64" t="s">
        <v>718</v>
      </c>
      <c r="K50" s="109" t="s">
        <v>815</v>
      </c>
      <c r="L50" s="36" t="s">
        <v>718</v>
      </c>
      <c r="M50" s="29" t="s">
        <v>399</v>
      </c>
      <c r="N50" s="29" t="s">
        <v>399</v>
      </c>
      <c r="O50" s="29" t="s">
        <v>399</v>
      </c>
      <c r="P50" s="110" t="s">
        <v>399</v>
      </c>
      <c r="Q50" s="35"/>
    </row>
    <row r="51" spans="1:17" x14ac:dyDescent="0.25">
      <c r="A51" s="108">
        <v>41</v>
      </c>
      <c r="B51" s="108" t="s">
        <v>410</v>
      </c>
      <c r="C51" s="106">
        <v>1</v>
      </c>
      <c r="D51" s="107" t="s">
        <v>41</v>
      </c>
      <c r="E51" s="107" t="s">
        <v>462</v>
      </c>
      <c r="F51" s="106">
        <v>2</v>
      </c>
      <c r="G51" s="106">
        <v>2</v>
      </c>
      <c r="H51" s="63" t="s">
        <v>463</v>
      </c>
      <c r="I51" s="33" t="s">
        <v>718</v>
      </c>
      <c r="J51" s="64" t="s">
        <v>718</v>
      </c>
      <c r="K51" s="109" t="s">
        <v>821</v>
      </c>
      <c r="L51" s="36" t="s">
        <v>718</v>
      </c>
      <c r="M51" s="29" t="s">
        <v>726</v>
      </c>
      <c r="N51" s="29" t="s">
        <v>399</v>
      </c>
      <c r="O51" s="29" t="s">
        <v>399</v>
      </c>
      <c r="P51" s="110" t="s">
        <v>399</v>
      </c>
      <c r="Q51" s="35"/>
    </row>
    <row r="52" spans="1:17" x14ac:dyDescent="0.25">
      <c r="A52" s="108">
        <v>42</v>
      </c>
      <c r="B52" s="108" t="s">
        <v>410</v>
      </c>
      <c r="C52" s="106">
        <v>1</v>
      </c>
      <c r="D52" s="107" t="s">
        <v>41</v>
      </c>
      <c r="E52" s="107" t="s">
        <v>464</v>
      </c>
      <c r="F52" s="106">
        <v>2</v>
      </c>
      <c r="G52" s="106">
        <v>2</v>
      </c>
      <c r="H52" s="63" t="s">
        <v>463</v>
      </c>
      <c r="I52" s="33" t="s">
        <v>718</v>
      </c>
      <c r="J52" s="64" t="s">
        <v>718</v>
      </c>
      <c r="K52" s="109" t="s">
        <v>820</v>
      </c>
      <c r="L52" s="36" t="s">
        <v>718</v>
      </c>
      <c r="M52" s="29" t="s">
        <v>399</v>
      </c>
      <c r="N52" s="29" t="s">
        <v>399</v>
      </c>
      <c r="O52" s="29" t="s">
        <v>399</v>
      </c>
      <c r="P52" s="110" t="s">
        <v>399</v>
      </c>
      <c r="Q52" s="35"/>
    </row>
    <row r="53" spans="1:17" x14ac:dyDescent="0.25">
      <c r="A53" s="108">
        <v>43</v>
      </c>
      <c r="B53" s="108" t="s">
        <v>410</v>
      </c>
      <c r="C53" s="106">
        <v>1</v>
      </c>
      <c r="D53" s="107" t="s">
        <v>465</v>
      </c>
      <c r="E53" s="107" t="s">
        <v>466</v>
      </c>
      <c r="F53" s="106">
        <v>1</v>
      </c>
      <c r="G53" s="106">
        <v>1</v>
      </c>
      <c r="H53" s="63" t="s">
        <v>415</v>
      </c>
      <c r="I53" s="33" t="s">
        <v>718</v>
      </c>
      <c r="J53" s="64" t="s">
        <v>718</v>
      </c>
      <c r="K53" s="109" t="s">
        <v>822</v>
      </c>
      <c r="L53" s="36" t="s">
        <v>718</v>
      </c>
      <c r="M53" s="29" t="s">
        <v>399</v>
      </c>
      <c r="N53" s="29" t="s">
        <v>399</v>
      </c>
      <c r="O53" s="29" t="s">
        <v>399</v>
      </c>
      <c r="P53" s="110" t="s">
        <v>399</v>
      </c>
      <c r="Q53" s="35"/>
    </row>
    <row r="54" spans="1:17" x14ac:dyDescent="0.25">
      <c r="A54" s="108">
        <v>44</v>
      </c>
      <c r="B54" s="108" t="s">
        <v>410</v>
      </c>
      <c r="C54" s="106">
        <v>1</v>
      </c>
      <c r="D54" s="107" t="s">
        <v>137</v>
      </c>
      <c r="E54" s="107">
        <v>1159045</v>
      </c>
      <c r="F54" s="106">
        <v>1</v>
      </c>
      <c r="G54" s="106">
        <v>1</v>
      </c>
      <c r="H54" s="63" t="s">
        <v>138</v>
      </c>
      <c r="I54" s="33" t="s">
        <v>718</v>
      </c>
      <c r="J54" s="64" t="s">
        <v>718</v>
      </c>
      <c r="K54" s="109" t="s">
        <v>823</v>
      </c>
      <c r="L54" s="36" t="s">
        <v>718</v>
      </c>
      <c r="M54" s="29" t="s">
        <v>399</v>
      </c>
      <c r="N54" s="29" t="s">
        <v>399</v>
      </c>
      <c r="O54" s="29" t="s">
        <v>399</v>
      </c>
      <c r="P54" s="110" t="s">
        <v>399</v>
      </c>
      <c r="Q54" s="35"/>
    </row>
    <row r="55" spans="1:17" x14ac:dyDescent="0.25">
      <c r="A55" s="108">
        <v>45</v>
      </c>
      <c r="B55" s="108" t="s">
        <v>410</v>
      </c>
      <c r="C55" s="106">
        <v>1</v>
      </c>
      <c r="D55" s="107" t="s">
        <v>137</v>
      </c>
      <c r="E55" s="107">
        <v>2910386</v>
      </c>
      <c r="F55" s="106">
        <v>1</v>
      </c>
      <c r="G55" s="106">
        <v>1</v>
      </c>
      <c r="H55" s="63" t="s">
        <v>467</v>
      </c>
      <c r="I55" s="33" t="s">
        <v>718</v>
      </c>
      <c r="J55" s="64" t="s">
        <v>718</v>
      </c>
      <c r="K55" s="109" t="s">
        <v>836</v>
      </c>
      <c r="L55" s="36" t="s">
        <v>718</v>
      </c>
      <c r="M55" s="29" t="s">
        <v>726</v>
      </c>
      <c r="N55" s="29" t="s">
        <v>399</v>
      </c>
      <c r="O55" s="29" t="s">
        <v>399</v>
      </c>
      <c r="P55" s="110" t="s">
        <v>399</v>
      </c>
      <c r="Q55" s="35"/>
    </row>
    <row r="56" spans="1:17" ht="60" x14ac:dyDescent="0.25">
      <c r="A56" s="108">
        <v>46</v>
      </c>
      <c r="B56" s="108" t="s">
        <v>410</v>
      </c>
      <c r="C56" s="106">
        <v>1</v>
      </c>
      <c r="D56" s="107" t="s">
        <v>137</v>
      </c>
      <c r="E56" s="107">
        <v>2905743</v>
      </c>
      <c r="F56" s="106">
        <v>9</v>
      </c>
      <c r="G56" s="106">
        <v>9</v>
      </c>
      <c r="H56" s="63" t="s">
        <v>468</v>
      </c>
      <c r="I56" s="33" t="s">
        <v>718</v>
      </c>
      <c r="J56" s="64" t="s">
        <v>718</v>
      </c>
      <c r="K56" s="109" t="s">
        <v>1175</v>
      </c>
      <c r="L56" s="36" t="s">
        <v>718</v>
      </c>
      <c r="M56" s="29" t="s">
        <v>726</v>
      </c>
      <c r="N56" s="29" t="s">
        <v>399</v>
      </c>
      <c r="O56" s="29" t="s">
        <v>399</v>
      </c>
      <c r="P56" s="110" t="s">
        <v>399</v>
      </c>
      <c r="Q56" s="35"/>
    </row>
    <row r="57" spans="1:17" ht="90" x14ac:dyDescent="0.25">
      <c r="A57" s="108">
        <v>47</v>
      </c>
      <c r="B57" s="108" t="s">
        <v>410</v>
      </c>
      <c r="C57" s="106">
        <v>1</v>
      </c>
      <c r="D57" s="107" t="s">
        <v>137</v>
      </c>
      <c r="E57" s="107">
        <v>1683002</v>
      </c>
      <c r="F57" s="106">
        <v>18</v>
      </c>
      <c r="G57" s="106">
        <v>18</v>
      </c>
      <c r="H57" s="63" t="s">
        <v>832</v>
      </c>
      <c r="I57" s="33" t="s">
        <v>718</v>
      </c>
      <c r="J57" s="64" t="s">
        <v>718</v>
      </c>
      <c r="K57" s="109" t="s">
        <v>833</v>
      </c>
      <c r="L57" s="36" t="s">
        <v>718</v>
      </c>
      <c r="M57" s="29" t="s">
        <v>399</v>
      </c>
      <c r="N57" s="29" t="s">
        <v>399</v>
      </c>
      <c r="O57" s="29" t="s">
        <v>399</v>
      </c>
      <c r="P57" s="110" t="s">
        <v>399</v>
      </c>
      <c r="Q57" s="35"/>
    </row>
    <row r="58" spans="1:17" ht="105" x14ac:dyDescent="0.25">
      <c r="A58" s="108">
        <v>48</v>
      </c>
      <c r="B58" s="108" t="s">
        <v>410</v>
      </c>
      <c r="C58" s="106">
        <v>1</v>
      </c>
      <c r="D58" s="107" t="s">
        <v>137</v>
      </c>
      <c r="E58" s="107">
        <v>1500716</v>
      </c>
      <c r="F58" s="106">
        <v>13</v>
      </c>
      <c r="G58" s="106">
        <v>13</v>
      </c>
      <c r="H58" s="63" t="s">
        <v>827</v>
      </c>
      <c r="I58" s="33" t="s">
        <v>718</v>
      </c>
      <c r="J58" s="64" t="s">
        <v>718</v>
      </c>
      <c r="K58" s="109" t="s">
        <v>828</v>
      </c>
      <c r="L58" s="36" t="s">
        <v>718</v>
      </c>
      <c r="M58" s="29" t="s">
        <v>399</v>
      </c>
      <c r="N58" s="29" t="s">
        <v>399</v>
      </c>
      <c r="O58" s="29" t="s">
        <v>399</v>
      </c>
      <c r="P58" s="110" t="s">
        <v>399</v>
      </c>
      <c r="Q58" s="35"/>
    </row>
    <row r="59" spans="1:17" ht="30" x14ac:dyDescent="0.25">
      <c r="A59" s="108">
        <v>49</v>
      </c>
      <c r="B59" s="108" t="s">
        <v>410</v>
      </c>
      <c r="C59" s="106">
        <v>1</v>
      </c>
      <c r="D59" s="107" t="s">
        <v>137</v>
      </c>
      <c r="E59" s="107">
        <v>1522891</v>
      </c>
      <c r="F59" s="106">
        <v>2</v>
      </c>
      <c r="G59" s="106">
        <v>2</v>
      </c>
      <c r="H59" s="63" t="s">
        <v>463</v>
      </c>
      <c r="I59" s="33" t="s">
        <v>718</v>
      </c>
      <c r="J59" s="64" t="s">
        <v>718</v>
      </c>
      <c r="K59" s="109" t="s">
        <v>831</v>
      </c>
      <c r="L59" s="36" t="s">
        <v>718</v>
      </c>
      <c r="M59" s="29" t="s">
        <v>399</v>
      </c>
      <c r="N59" s="29" t="s">
        <v>399</v>
      </c>
      <c r="O59" s="29" t="s">
        <v>399</v>
      </c>
      <c r="P59" s="110" t="s">
        <v>399</v>
      </c>
      <c r="Q59" s="35"/>
    </row>
    <row r="60" spans="1:17" ht="30" x14ac:dyDescent="0.25">
      <c r="A60" s="108">
        <v>50</v>
      </c>
      <c r="B60" s="108" t="s">
        <v>410</v>
      </c>
      <c r="C60" s="106">
        <v>1</v>
      </c>
      <c r="D60" s="107" t="s">
        <v>137</v>
      </c>
      <c r="E60" s="107">
        <v>1520372</v>
      </c>
      <c r="F60" s="106">
        <v>1</v>
      </c>
      <c r="G60" s="106">
        <v>1</v>
      </c>
      <c r="H60" s="63" t="s">
        <v>789</v>
      </c>
      <c r="I60" s="33" t="s">
        <v>718</v>
      </c>
      <c r="J60" s="64" t="s">
        <v>718</v>
      </c>
      <c r="K60" s="109" t="s">
        <v>830</v>
      </c>
      <c r="L60" s="36" t="s">
        <v>718</v>
      </c>
      <c r="M60" s="29" t="s">
        <v>399</v>
      </c>
      <c r="N60" s="29" t="s">
        <v>399</v>
      </c>
      <c r="O60" s="29" t="s">
        <v>399</v>
      </c>
      <c r="P60" s="110" t="s">
        <v>399</v>
      </c>
      <c r="Q60" s="35"/>
    </row>
    <row r="61" spans="1:17" ht="60" x14ac:dyDescent="0.25">
      <c r="A61" s="108">
        <v>51</v>
      </c>
      <c r="B61" s="108" t="s">
        <v>410</v>
      </c>
      <c r="C61" s="106">
        <v>1</v>
      </c>
      <c r="D61" s="107" t="s">
        <v>137</v>
      </c>
      <c r="E61" s="107">
        <v>1439492</v>
      </c>
      <c r="F61" s="106">
        <v>8</v>
      </c>
      <c r="G61" s="106">
        <v>8</v>
      </c>
      <c r="H61" s="63" t="s">
        <v>469</v>
      </c>
      <c r="I61" s="33" t="s">
        <v>718</v>
      </c>
      <c r="J61" s="64" t="s">
        <v>718</v>
      </c>
      <c r="K61" s="109" t="s">
        <v>826</v>
      </c>
      <c r="L61" s="36" t="s">
        <v>718</v>
      </c>
      <c r="M61" s="29" t="s">
        <v>399</v>
      </c>
      <c r="N61" s="29" t="s">
        <v>399</v>
      </c>
      <c r="O61" s="29" t="s">
        <v>399</v>
      </c>
      <c r="P61" s="110" t="s">
        <v>399</v>
      </c>
      <c r="Q61" s="35"/>
    </row>
    <row r="62" spans="1:17" ht="30" x14ac:dyDescent="0.25">
      <c r="A62" s="108">
        <v>52</v>
      </c>
      <c r="B62" s="108" t="s">
        <v>410</v>
      </c>
      <c r="C62" s="106">
        <v>1</v>
      </c>
      <c r="D62" s="107" t="s">
        <v>137</v>
      </c>
      <c r="E62" s="107">
        <v>1406167</v>
      </c>
      <c r="F62" s="106">
        <v>1</v>
      </c>
      <c r="G62" s="106">
        <v>1</v>
      </c>
      <c r="H62" s="63" t="s">
        <v>435</v>
      </c>
      <c r="I62" s="33" t="s">
        <v>718</v>
      </c>
      <c r="J62" s="64" t="s">
        <v>718</v>
      </c>
      <c r="K62" s="109" t="s">
        <v>825</v>
      </c>
      <c r="L62" s="36" t="s">
        <v>718</v>
      </c>
      <c r="M62" s="29" t="s">
        <v>399</v>
      </c>
      <c r="N62" s="29" t="s">
        <v>399</v>
      </c>
      <c r="O62" s="29" t="s">
        <v>399</v>
      </c>
      <c r="P62" s="110" t="s">
        <v>399</v>
      </c>
      <c r="Q62" s="35"/>
    </row>
    <row r="63" spans="1:17" ht="30" x14ac:dyDescent="0.25">
      <c r="A63" s="108">
        <v>53</v>
      </c>
      <c r="B63" s="108" t="s">
        <v>410</v>
      </c>
      <c r="C63" s="106">
        <v>1</v>
      </c>
      <c r="D63" s="107" t="s">
        <v>137</v>
      </c>
      <c r="E63" s="107">
        <v>1500758</v>
      </c>
      <c r="F63" s="106">
        <v>2</v>
      </c>
      <c r="G63" s="106">
        <v>2</v>
      </c>
      <c r="H63" s="63" t="s">
        <v>434</v>
      </c>
      <c r="I63" s="33" t="s">
        <v>718</v>
      </c>
      <c r="J63" s="64" t="s">
        <v>718</v>
      </c>
      <c r="K63" s="109" t="s">
        <v>829</v>
      </c>
      <c r="L63" s="36" t="s">
        <v>718</v>
      </c>
      <c r="M63" s="29" t="s">
        <v>399</v>
      </c>
      <c r="N63" s="29" t="s">
        <v>399</v>
      </c>
      <c r="O63" s="29" t="s">
        <v>399</v>
      </c>
      <c r="P63" s="110" t="s">
        <v>399</v>
      </c>
      <c r="Q63" s="35"/>
    </row>
    <row r="64" spans="1:17" ht="54" x14ac:dyDescent="0.25">
      <c r="A64" s="108">
        <v>54</v>
      </c>
      <c r="B64" s="108" t="s">
        <v>410</v>
      </c>
      <c r="C64" s="106">
        <v>1</v>
      </c>
      <c r="D64" s="107" t="s">
        <v>137</v>
      </c>
      <c r="E64" s="107">
        <v>1694101</v>
      </c>
      <c r="F64" s="106">
        <v>8</v>
      </c>
      <c r="G64" s="106">
        <v>8</v>
      </c>
      <c r="H64" s="63" t="s">
        <v>834</v>
      </c>
      <c r="I64" s="33" t="s">
        <v>718</v>
      </c>
      <c r="J64" s="64" t="s">
        <v>718</v>
      </c>
      <c r="K64" s="109" t="s">
        <v>835</v>
      </c>
      <c r="L64" s="36" t="s">
        <v>718</v>
      </c>
      <c r="M64" s="29" t="s">
        <v>399</v>
      </c>
      <c r="N64" s="29" t="s">
        <v>399</v>
      </c>
      <c r="O64" s="29" t="s">
        <v>399</v>
      </c>
      <c r="P64" s="110" t="s">
        <v>399</v>
      </c>
      <c r="Q64" s="35"/>
    </row>
    <row r="65" spans="1:17" ht="30" x14ac:dyDescent="0.25">
      <c r="A65" s="108">
        <v>55</v>
      </c>
      <c r="B65" s="108" t="s">
        <v>410</v>
      </c>
      <c r="C65" s="106">
        <v>1</v>
      </c>
      <c r="D65" s="107" t="s">
        <v>137</v>
      </c>
      <c r="E65" s="107">
        <v>1400899</v>
      </c>
      <c r="F65" s="106">
        <v>3</v>
      </c>
      <c r="G65" s="106">
        <v>3</v>
      </c>
      <c r="H65" s="63" t="s">
        <v>470</v>
      </c>
      <c r="I65" s="33" t="s">
        <v>718</v>
      </c>
      <c r="J65" s="64" t="s">
        <v>718</v>
      </c>
      <c r="K65" s="109" t="s">
        <v>824</v>
      </c>
      <c r="L65" s="36" t="s">
        <v>718</v>
      </c>
      <c r="M65" s="29" t="s">
        <v>399</v>
      </c>
      <c r="N65" s="29" t="s">
        <v>399</v>
      </c>
      <c r="O65" s="29" t="s">
        <v>399</v>
      </c>
      <c r="P65" s="110" t="s">
        <v>399</v>
      </c>
      <c r="Q65" s="35"/>
    </row>
    <row r="66" spans="1:17" x14ac:dyDescent="0.25">
      <c r="A66" s="108">
        <v>56</v>
      </c>
      <c r="B66" s="108" t="s">
        <v>410</v>
      </c>
      <c r="C66" s="106">
        <v>1</v>
      </c>
      <c r="D66" s="107" t="s">
        <v>14</v>
      </c>
      <c r="E66" s="107" t="s">
        <v>471</v>
      </c>
      <c r="F66" s="106">
        <v>2</v>
      </c>
      <c r="G66" s="106">
        <v>2</v>
      </c>
      <c r="H66" s="63" t="s">
        <v>472</v>
      </c>
      <c r="I66" s="33" t="s">
        <v>718</v>
      </c>
      <c r="J66" s="64" t="s">
        <v>718</v>
      </c>
      <c r="K66" s="109" t="s">
        <v>920</v>
      </c>
      <c r="L66" s="36" t="s">
        <v>718</v>
      </c>
      <c r="M66" s="29" t="s">
        <v>399</v>
      </c>
      <c r="N66" s="29" t="s">
        <v>399</v>
      </c>
      <c r="O66" s="29" t="s">
        <v>399</v>
      </c>
      <c r="P66" s="110" t="s">
        <v>399</v>
      </c>
      <c r="Q66" s="35"/>
    </row>
    <row r="67" spans="1:17" x14ac:dyDescent="0.25">
      <c r="A67" s="108">
        <v>57</v>
      </c>
      <c r="B67" s="108" t="s">
        <v>410</v>
      </c>
      <c r="C67" s="106">
        <v>1</v>
      </c>
      <c r="D67" s="107" t="s">
        <v>14</v>
      </c>
      <c r="E67" s="107" t="s">
        <v>87</v>
      </c>
      <c r="F67" s="106">
        <v>2</v>
      </c>
      <c r="G67" s="106">
        <v>2</v>
      </c>
      <c r="H67" s="63" t="s">
        <v>472</v>
      </c>
      <c r="I67" s="33" t="s">
        <v>718</v>
      </c>
      <c r="J67" s="64" t="s">
        <v>718</v>
      </c>
      <c r="K67" s="109" t="s">
        <v>921</v>
      </c>
      <c r="L67" s="36" t="s">
        <v>718</v>
      </c>
      <c r="M67" s="29" t="s">
        <v>399</v>
      </c>
      <c r="N67" s="29" t="s">
        <v>399</v>
      </c>
      <c r="O67" s="29" t="s">
        <v>399</v>
      </c>
      <c r="P67" s="110" t="s">
        <v>399</v>
      </c>
      <c r="Q67" s="35"/>
    </row>
    <row r="68" spans="1:17" x14ac:dyDescent="0.25">
      <c r="A68" s="108">
        <v>58</v>
      </c>
      <c r="B68" s="108" t="s">
        <v>410</v>
      </c>
      <c r="C68" s="106">
        <v>1</v>
      </c>
      <c r="D68" s="107" t="s">
        <v>14</v>
      </c>
      <c r="E68" s="107" t="s">
        <v>131</v>
      </c>
      <c r="F68" s="106">
        <v>2</v>
      </c>
      <c r="G68" s="106">
        <v>2</v>
      </c>
      <c r="H68" s="63" t="s">
        <v>473</v>
      </c>
      <c r="I68" s="33" t="s">
        <v>718</v>
      </c>
      <c r="J68" s="64" t="s">
        <v>718</v>
      </c>
      <c r="K68" s="109" t="s">
        <v>846</v>
      </c>
      <c r="L68" s="36" t="s">
        <v>718</v>
      </c>
      <c r="M68" s="29" t="s">
        <v>399</v>
      </c>
      <c r="N68" s="29" t="s">
        <v>399</v>
      </c>
      <c r="O68" s="29" t="s">
        <v>399</v>
      </c>
      <c r="P68" s="110" t="s">
        <v>399</v>
      </c>
      <c r="Q68" s="35"/>
    </row>
    <row r="69" spans="1:17" ht="30" x14ac:dyDescent="0.25">
      <c r="A69" s="108">
        <v>59</v>
      </c>
      <c r="B69" s="108" t="s">
        <v>410</v>
      </c>
      <c r="C69" s="106">
        <v>1</v>
      </c>
      <c r="D69" s="107" t="s">
        <v>14</v>
      </c>
      <c r="E69" s="107" t="s">
        <v>474</v>
      </c>
      <c r="F69" s="106">
        <v>3</v>
      </c>
      <c r="G69" s="106">
        <v>3</v>
      </c>
      <c r="H69" s="63" t="s">
        <v>841</v>
      </c>
      <c r="I69" s="33" t="s">
        <v>718</v>
      </c>
      <c r="J69" s="64" t="s">
        <v>718</v>
      </c>
      <c r="K69" s="109" t="s">
        <v>842</v>
      </c>
      <c r="L69" s="36" t="s">
        <v>718</v>
      </c>
      <c r="M69" s="29" t="s">
        <v>399</v>
      </c>
      <c r="N69" s="29" t="s">
        <v>399</v>
      </c>
      <c r="O69" s="29" t="s">
        <v>399</v>
      </c>
      <c r="P69" s="110" t="s">
        <v>399</v>
      </c>
      <c r="Q69" s="35"/>
    </row>
    <row r="70" spans="1:17" ht="40.5" x14ac:dyDescent="0.25">
      <c r="A70" s="108">
        <v>60</v>
      </c>
      <c r="B70" s="108" t="s">
        <v>410</v>
      </c>
      <c r="C70" s="106">
        <v>1</v>
      </c>
      <c r="D70" s="107" t="s">
        <v>14</v>
      </c>
      <c r="E70" s="107" t="s">
        <v>475</v>
      </c>
      <c r="F70" s="106">
        <v>12</v>
      </c>
      <c r="G70" s="106">
        <v>12</v>
      </c>
      <c r="H70" s="63" t="s">
        <v>476</v>
      </c>
      <c r="I70" s="33" t="s">
        <v>718</v>
      </c>
      <c r="J70" s="64" t="s">
        <v>718</v>
      </c>
      <c r="K70" s="109" t="s">
        <v>843</v>
      </c>
      <c r="L70" s="36" t="s">
        <v>718</v>
      </c>
      <c r="M70" s="29" t="s">
        <v>399</v>
      </c>
      <c r="N70" s="29" t="s">
        <v>399</v>
      </c>
      <c r="O70" s="29" t="s">
        <v>399</v>
      </c>
      <c r="P70" s="110" t="s">
        <v>399</v>
      </c>
      <c r="Q70" s="35"/>
    </row>
    <row r="71" spans="1:17" ht="40.5" x14ac:dyDescent="0.25">
      <c r="A71" s="108">
        <v>61</v>
      </c>
      <c r="B71" s="108" t="s">
        <v>410</v>
      </c>
      <c r="C71" s="106">
        <v>1</v>
      </c>
      <c r="D71" s="107" t="s">
        <v>14</v>
      </c>
      <c r="E71" s="107" t="s">
        <v>477</v>
      </c>
      <c r="F71" s="106">
        <v>6</v>
      </c>
      <c r="G71" s="106">
        <v>6</v>
      </c>
      <c r="H71" s="63" t="s">
        <v>476</v>
      </c>
      <c r="I71" s="33" t="s">
        <v>718</v>
      </c>
      <c r="J71" s="64" t="s">
        <v>718</v>
      </c>
      <c r="K71" s="109" t="s">
        <v>840</v>
      </c>
      <c r="L71" s="36" t="s">
        <v>718</v>
      </c>
      <c r="M71" s="29" t="s">
        <v>399</v>
      </c>
      <c r="N71" s="29" t="s">
        <v>399</v>
      </c>
      <c r="O71" s="29" t="s">
        <v>399</v>
      </c>
      <c r="P71" s="110" t="s">
        <v>399</v>
      </c>
      <c r="Q71" s="35"/>
    </row>
    <row r="72" spans="1:17" x14ac:dyDescent="0.25">
      <c r="A72" s="108">
        <v>62</v>
      </c>
      <c r="B72" s="108" t="s">
        <v>410</v>
      </c>
      <c r="C72" s="106">
        <v>1</v>
      </c>
      <c r="D72" s="107" t="s">
        <v>14</v>
      </c>
      <c r="E72" s="107" t="s">
        <v>478</v>
      </c>
      <c r="F72" s="106">
        <v>1</v>
      </c>
      <c r="G72" s="106">
        <v>1</v>
      </c>
      <c r="H72" s="63" t="s">
        <v>479</v>
      </c>
      <c r="I72" s="33" t="s">
        <v>718</v>
      </c>
      <c r="J72" s="64" t="s">
        <v>718</v>
      </c>
      <c r="K72" s="109" t="s">
        <v>875</v>
      </c>
      <c r="L72" s="36" t="s">
        <v>718</v>
      </c>
      <c r="M72" s="29" t="s">
        <v>399</v>
      </c>
      <c r="N72" s="29" t="s">
        <v>399</v>
      </c>
      <c r="O72" s="29" t="s">
        <v>399</v>
      </c>
      <c r="P72" s="110" t="s">
        <v>399</v>
      </c>
      <c r="Q72" s="35"/>
    </row>
    <row r="73" spans="1:17" x14ac:dyDescent="0.25">
      <c r="A73" s="108">
        <v>63</v>
      </c>
      <c r="B73" s="108" t="s">
        <v>410</v>
      </c>
      <c r="C73" s="106">
        <v>1</v>
      </c>
      <c r="D73" s="107" t="s">
        <v>14</v>
      </c>
      <c r="E73" s="107" t="s">
        <v>480</v>
      </c>
      <c r="F73" s="106">
        <v>1</v>
      </c>
      <c r="G73" s="106">
        <v>1</v>
      </c>
      <c r="H73" s="63" t="s">
        <v>479</v>
      </c>
      <c r="I73" s="33" t="s">
        <v>718</v>
      </c>
      <c r="J73" s="64" t="s">
        <v>718</v>
      </c>
      <c r="K73" s="109" t="s">
        <v>879</v>
      </c>
      <c r="L73" s="36" t="s">
        <v>718</v>
      </c>
      <c r="M73" s="29" t="s">
        <v>399</v>
      </c>
      <c r="N73" s="29" t="s">
        <v>399</v>
      </c>
      <c r="O73" s="29" t="s">
        <v>399</v>
      </c>
      <c r="P73" s="110" t="s">
        <v>399</v>
      </c>
      <c r="Q73" s="35"/>
    </row>
    <row r="74" spans="1:17" x14ac:dyDescent="0.25">
      <c r="A74" s="108">
        <v>64</v>
      </c>
      <c r="B74" s="108" t="s">
        <v>410</v>
      </c>
      <c r="C74" s="106">
        <v>1</v>
      </c>
      <c r="D74" s="107" t="s">
        <v>14</v>
      </c>
      <c r="E74" s="107" t="s">
        <v>481</v>
      </c>
      <c r="F74" s="106">
        <v>1</v>
      </c>
      <c r="G74" s="106">
        <v>1</v>
      </c>
      <c r="H74" s="63" t="s">
        <v>482</v>
      </c>
      <c r="I74" s="33" t="s">
        <v>718</v>
      </c>
      <c r="J74" s="64" t="s">
        <v>718</v>
      </c>
      <c r="K74" s="109" t="s">
        <v>877</v>
      </c>
      <c r="L74" s="36" t="s">
        <v>718</v>
      </c>
      <c r="M74" s="29" t="s">
        <v>399</v>
      </c>
      <c r="N74" s="29" t="s">
        <v>399</v>
      </c>
      <c r="O74" s="29" t="s">
        <v>399</v>
      </c>
      <c r="P74" s="110" t="s">
        <v>399</v>
      </c>
      <c r="Q74" s="35"/>
    </row>
    <row r="75" spans="1:17" x14ac:dyDescent="0.25">
      <c r="A75" s="108">
        <v>65</v>
      </c>
      <c r="B75" s="108" t="s">
        <v>410</v>
      </c>
      <c r="C75" s="106">
        <v>1</v>
      </c>
      <c r="D75" s="107" t="s">
        <v>14</v>
      </c>
      <c r="E75" s="107" t="s">
        <v>483</v>
      </c>
      <c r="F75" s="106">
        <v>2</v>
      </c>
      <c r="G75" s="106">
        <v>2</v>
      </c>
      <c r="H75" s="63" t="s">
        <v>721</v>
      </c>
      <c r="I75" s="33" t="s">
        <v>718</v>
      </c>
      <c r="J75" s="64" t="s">
        <v>718</v>
      </c>
      <c r="K75" s="109" t="s">
        <v>876</v>
      </c>
      <c r="L75" s="36" t="s">
        <v>718</v>
      </c>
      <c r="M75" s="29" t="s">
        <v>399</v>
      </c>
      <c r="N75" s="29" t="s">
        <v>399</v>
      </c>
      <c r="O75" s="29" t="s">
        <v>399</v>
      </c>
      <c r="P75" s="110" t="s">
        <v>399</v>
      </c>
      <c r="Q75" s="35"/>
    </row>
    <row r="76" spans="1:17" x14ac:dyDescent="0.25">
      <c r="A76" s="108">
        <v>66</v>
      </c>
      <c r="B76" s="108" t="s">
        <v>410</v>
      </c>
      <c r="C76" s="106">
        <v>1</v>
      </c>
      <c r="D76" s="107" t="s">
        <v>14</v>
      </c>
      <c r="E76" s="107" t="s">
        <v>485</v>
      </c>
      <c r="F76" s="106">
        <v>1</v>
      </c>
      <c r="G76" s="106">
        <v>1</v>
      </c>
      <c r="H76" s="63" t="s">
        <v>486</v>
      </c>
      <c r="I76" s="33" t="s">
        <v>718</v>
      </c>
      <c r="J76" s="64" t="s">
        <v>718</v>
      </c>
      <c r="K76" s="109" t="s">
        <v>878</v>
      </c>
      <c r="L76" s="36" t="s">
        <v>718</v>
      </c>
      <c r="M76" s="29" t="s">
        <v>399</v>
      </c>
      <c r="N76" s="29" t="s">
        <v>399</v>
      </c>
      <c r="O76" s="29" t="s">
        <v>399</v>
      </c>
      <c r="P76" s="110" t="s">
        <v>399</v>
      </c>
      <c r="Q76" s="35"/>
    </row>
    <row r="77" spans="1:17" ht="120" x14ac:dyDescent="0.25">
      <c r="A77" s="108">
        <v>67</v>
      </c>
      <c r="B77" s="108" t="s">
        <v>410</v>
      </c>
      <c r="C77" s="106">
        <v>1</v>
      </c>
      <c r="D77" s="107" t="s">
        <v>14</v>
      </c>
      <c r="E77" s="107" t="s">
        <v>487</v>
      </c>
      <c r="F77" s="106">
        <v>7</v>
      </c>
      <c r="G77" s="106">
        <v>7</v>
      </c>
      <c r="H77" s="63" t="s">
        <v>488</v>
      </c>
      <c r="I77" s="33" t="s">
        <v>718</v>
      </c>
      <c r="J77" s="64" t="s">
        <v>718</v>
      </c>
      <c r="K77" s="109" t="s">
        <v>881</v>
      </c>
      <c r="L77" s="36" t="s">
        <v>718</v>
      </c>
      <c r="M77" s="29" t="s">
        <v>399</v>
      </c>
      <c r="N77" s="29" t="s">
        <v>399</v>
      </c>
      <c r="O77" s="29" t="s">
        <v>399</v>
      </c>
      <c r="P77" s="110" t="s">
        <v>399</v>
      </c>
      <c r="Q77" s="35"/>
    </row>
    <row r="78" spans="1:17" x14ac:dyDescent="0.25">
      <c r="A78" s="108">
        <v>68</v>
      </c>
      <c r="B78" s="108" t="s">
        <v>410</v>
      </c>
      <c r="C78" s="106">
        <v>1</v>
      </c>
      <c r="D78" s="107" t="s">
        <v>14</v>
      </c>
      <c r="E78" s="107" t="s">
        <v>489</v>
      </c>
      <c r="F78" s="106">
        <v>2</v>
      </c>
      <c r="G78" s="106">
        <v>2</v>
      </c>
      <c r="H78" s="63" t="s">
        <v>496</v>
      </c>
      <c r="I78" s="33" t="s">
        <v>718</v>
      </c>
      <c r="J78" s="64" t="s">
        <v>718</v>
      </c>
      <c r="K78" s="109" t="s">
        <v>839</v>
      </c>
      <c r="L78" s="36" t="s">
        <v>718</v>
      </c>
      <c r="M78" s="29" t="s">
        <v>726</v>
      </c>
      <c r="N78" s="29" t="s">
        <v>399</v>
      </c>
      <c r="O78" s="29" t="s">
        <v>399</v>
      </c>
      <c r="P78" s="110" t="s">
        <v>399</v>
      </c>
      <c r="Q78" s="35"/>
    </row>
    <row r="79" spans="1:17" ht="30" x14ac:dyDescent="0.25">
      <c r="A79" s="108">
        <v>69</v>
      </c>
      <c r="B79" s="108" t="s">
        <v>410</v>
      </c>
      <c r="C79" s="106">
        <v>1</v>
      </c>
      <c r="D79" s="107" t="s">
        <v>14</v>
      </c>
      <c r="E79" s="107" t="s">
        <v>490</v>
      </c>
      <c r="F79" s="106">
        <v>2</v>
      </c>
      <c r="G79" s="106">
        <v>2</v>
      </c>
      <c r="H79" s="63" t="s">
        <v>496</v>
      </c>
      <c r="I79" s="33" t="s">
        <v>718</v>
      </c>
      <c r="J79" s="64" t="s">
        <v>718</v>
      </c>
      <c r="K79" s="109" t="s">
        <v>883</v>
      </c>
      <c r="L79" s="36" t="s">
        <v>718</v>
      </c>
      <c r="M79" s="29" t="s">
        <v>399</v>
      </c>
      <c r="N79" s="29" t="s">
        <v>399</v>
      </c>
      <c r="O79" s="29" t="s">
        <v>399</v>
      </c>
      <c r="P79" s="110" t="s">
        <v>399</v>
      </c>
      <c r="Q79" s="35"/>
    </row>
    <row r="80" spans="1:17" ht="90" x14ac:dyDescent="0.25">
      <c r="A80" s="108">
        <v>70</v>
      </c>
      <c r="B80" s="108" t="s">
        <v>410</v>
      </c>
      <c r="C80" s="106">
        <v>1</v>
      </c>
      <c r="D80" s="107" t="s">
        <v>14</v>
      </c>
      <c r="E80" s="107" t="s">
        <v>491</v>
      </c>
      <c r="F80" s="106">
        <v>7</v>
      </c>
      <c r="G80" s="106">
        <v>7</v>
      </c>
      <c r="H80" s="63" t="s">
        <v>488</v>
      </c>
      <c r="I80" s="33" t="s">
        <v>718</v>
      </c>
      <c r="J80" s="64" t="s">
        <v>718</v>
      </c>
      <c r="K80" s="109" t="s">
        <v>882</v>
      </c>
      <c r="L80" s="36" t="s">
        <v>718</v>
      </c>
      <c r="M80" s="29" t="s">
        <v>399</v>
      </c>
      <c r="N80" s="29" t="s">
        <v>399</v>
      </c>
      <c r="O80" s="29" t="s">
        <v>399</v>
      </c>
      <c r="P80" s="110" t="s">
        <v>399</v>
      </c>
      <c r="Q80" s="35"/>
    </row>
    <row r="81" spans="1:17" ht="30" x14ac:dyDescent="0.25">
      <c r="A81" s="108">
        <v>71</v>
      </c>
      <c r="B81" s="108" t="s">
        <v>410</v>
      </c>
      <c r="C81" s="106">
        <v>1</v>
      </c>
      <c r="D81" s="107" t="s">
        <v>14</v>
      </c>
      <c r="E81" s="107" t="s">
        <v>492</v>
      </c>
      <c r="F81" s="106">
        <v>3</v>
      </c>
      <c r="G81" s="106">
        <v>3</v>
      </c>
      <c r="H81" s="63" t="s">
        <v>493</v>
      </c>
      <c r="I81" s="33" t="s">
        <v>718</v>
      </c>
      <c r="J81" s="64" t="s">
        <v>718</v>
      </c>
      <c r="K81" s="109" t="s">
        <v>886</v>
      </c>
      <c r="L81" s="36" t="s">
        <v>718</v>
      </c>
      <c r="M81" s="29" t="s">
        <v>399</v>
      </c>
      <c r="N81" s="29" t="s">
        <v>399</v>
      </c>
      <c r="O81" s="29" t="s">
        <v>399</v>
      </c>
      <c r="P81" s="110" t="s">
        <v>399</v>
      </c>
      <c r="Q81" s="35"/>
    </row>
    <row r="82" spans="1:17" ht="45" x14ac:dyDescent="0.25">
      <c r="A82" s="108">
        <v>72</v>
      </c>
      <c r="B82" s="108" t="s">
        <v>410</v>
      </c>
      <c r="C82" s="106">
        <v>1</v>
      </c>
      <c r="D82" s="107" t="s">
        <v>14</v>
      </c>
      <c r="E82" s="107" t="s">
        <v>494</v>
      </c>
      <c r="F82" s="106">
        <v>3</v>
      </c>
      <c r="G82" s="106">
        <v>3</v>
      </c>
      <c r="H82" s="63" t="s">
        <v>493</v>
      </c>
      <c r="I82" s="33" t="s">
        <v>718</v>
      </c>
      <c r="J82" s="64" t="s">
        <v>718</v>
      </c>
      <c r="K82" s="109" t="s">
        <v>885</v>
      </c>
      <c r="L82" s="36" t="s">
        <v>718</v>
      </c>
      <c r="M82" s="29" t="s">
        <v>399</v>
      </c>
      <c r="N82" s="29" t="s">
        <v>399</v>
      </c>
      <c r="O82" s="29" t="s">
        <v>399</v>
      </c>
      <c r="P82" s="110" t="s">
        <v>399</v>
      </c>
      <c r="Q82" s="35"/>
    </row>
    <row r="83" spans="1:17" ht="30" x14ac:dyDescent="0.25">
      <c r="A83" s="108">
        <v>73</v>
      </c>
      <c r="B83" s="108" t="s">
        <v>410</v>
      </c>
      <c r="C83" s="106">
        <v>1</v>
      </c>
      <c r="D83" s="107" t="s">
        <v>14</v>
      </c>
      <c r="E83" s="107" t="s">
        <v>495</v>
      </c>
      <c r="F83" s="106">
        <v>2</v>
      </c>
      <c r="G83" s="106">
        <v>2</v>
      </c>
      <c r="H83" s="63" t="s">
        <v>496</v>
      </c>
      <c r="I83" s="33" t="s">
        <v>718</v>
      </c>
      <c r="J83" s="64" t="s">
        <v>718</v>
      </c>
      <c r="K83" s="109" t="s">
        <v>887</v>
      </c>
      <c r="L83" s="36" t="s">
        <v>718</v>
      </c>
      <c r="M83" s="29" t="s">
        <v>399</v>
      </c>
      <c r="N83" s="29" t="s">
        <v>399</v>
      </c>
      <c r="O83" s="29" t="s">
        <v>399</v>
      </c>
      <c r="P83" s="110" t="s">
        <v>399</v>
      </c>
      <c r="Q83" s="35"/>
    </row>
    <row r="84" spans="1:17" x14ac:dyDescent="0.25">
      <c r="A84" s="108">
        <v>74</v>
      </c>
      <c r="B84" s="108" t="s">
        <v>410</v>
      </c>
      <c r="C84" s="106">
        <v>1</v>
      </c>
      <c r="D84" s="107" t="s">
        <v>14</v>
      </c>
      <c r="E84" s="107" t="s">
        <v>497</v>
      </c>
      <c r="F84" s="106">
        <v>1</v>
      </c>
      <c r="G84" s="106">
        <v>1</v>
      </c>
      <c r="H84" s="63" t="s">
        <v>498</v>
      </c>
      <c r="I84" s="33" t="s">
        <v>718</v>
      </c>
      <c r="J84" s="64" t="s">
        <v>718</v>
      </c>
      <c r="K84" s="109" t="s">
        <v>838</v>
      </c>
      <c r="L84" s="36" t="s">
        <v>718</v>
      </c>
      <c r="M84" s="29" t="s">
        <v>726</v>
      </c>
      <c r="N84" s="29" t="s">
        <v>399</v>
      </c>
      <c r="O84" s="29" t="s">
        <v>399</v>
      </c>
      <c r="P84" s="110" t="s">
        <v>399</v>
      </c>
      <c r="Q84" s="35"/>
    </row>
    <row r="85" spans="1:17" ht="30" x14ac:dyDescent="0.25">
      <c r="A85" s="108">
        <v>75</v>
      </c>
      <c r="B85" s="108" t="s">
        <v>410</v>
      </c>
      <c r="C85" s="106">
        <v>1</v>
      </c>
      <c r="D85" s="107" t="s">
        <v>14</v>
      </c>
      <c r="E85" s="107" t="s">
        <v>499</v>
      </c>
      <c r="F85" s="106">
        <v>5</v>
      </c>
      <c r="G85" s="106">
        <v>5</v>
      </c>
      <c r="H85" s="63" t="s">
        <v>500</v>
      </c>
      <c r="I85" s="33" t="s">
        <v>718</v>
      </c>
      <c r="J85" s="64" t="s">
        <v>718</v>
      </c>
      <c r="K85" s="109" t="s">
        <v>884</v>
      </c>
      <c r="L85" s="36" t="s">
        <v>718</v>
      </c>
      <c r="M85" s="29" t="s">
        <v>399</v>
      </c>
      <c r="N85" s="29" t="s">
        <v>399</v>
      </c>
      <c r="O85" s="29" t="s">
        <v>399</v>
      </c>
      <c r="P85" s="110" t="s">
        <v>399</v>
      </c>
      <c r="Q85" s="35"/>
    </row>
    <row r="86" spans="1:17" ht="27" x14ac:dyDescent="0.25">
      <c r="A86" s="108">
        <v>76</v>
      </c>
      <c r="B86" s="108" t="s">
        <v>410</v>
      </c>
      <c r="C86" s="106">
        <v>1</v>
      </c>
      <c r="D86" s="107" t="s">
        <v>14</v>
      </c>
      <c r="E86" s="107" t="s">
        <v>501</v>
      </c>
      <c r="F86" s="106">
        <v>5</v>
      </c>
      <c r="G86" s="106">
        <v>0</v>
      </c>
      <c r="H86" s="63" t="s">
        <v>500</v>
      </c>
      <c r="I86" s="33" t="s">
        <v>718</v>
      </c>
      <c r="J86" s="64" t="s">
        <v>718</v>
      </c>
      <c r="K86" s="109" t="s">
        <v>962</v>
      </c>
      <c r="L86" s="36" t="s">
        <v>718</v>
      </c>
      <c r="M86" s="29" t="s">
        <v>399</v>
      </c>
      <c r="N86" s="29" t="s">
        <v>399</v>
      </c>
      <c r="O86" s="29" t="s">
        <v>399</v>
      </c>
      <c r="P86" s="110" t="s">
        <v>399</v>
      </c>
      <c r="Q86" s="35"/>
    </row>
    <row r="87" spans="1:17" ht="30" x14ac:dyDescent="0.25">
      <c r="A87" s="108">
        <v>77</v>
      </c>
      <c r="B87" s="108" t="s">
        <v>410</v>
      </c>
      <c r="C87" s="106">
        <v>1</v>
      </c>
      <c r="D87" s="107" t="s">
        <v>14</v>
      </c>
      <c r="E87" s="107" t="s">
        <v>502</v>
      </c>
      <c r="F87" s="106">
        <v>4</v>
      </c>
      <c r="G87" s="106">
        <v>4</v>
      </c>
      <c r="H87" s="63" t="s">
        <v>503</v>
      </c>
      <c r="I87" s="33" t="s">
        <v>718</v>
      </c>
      <c r="J87" s="64" t="s">
        <v>718</v>
      </c>
      <c r="K87" s="109" t="s">
        <v>837</v>
      </c>
      <c r="L87" s="36" t="s">
        <v>718</v>
      </c>
      <c r="M87" s="29" t="s">
        <v>726</v>
      </c>
      <c r="N87" s="29" t="s">
        <v>399</v>
      </c>
      <c r="O87" s="29" t="s">
        <v>399</v>
      </c>
      <c r="P87" s="110" t="s">
        <v>399</v>
      </c>
      <c r="Q87" s="35"/>
    </row>
    <row r="88" spans="1:17" ht="45" x14ac:dyDescent="0.25">
      <c r="A88" s="108">
        <v>78</v>
      </c>
      <c r="B88" s="108" t="s">
        <v>410</v>
      </c>
      <c r="C88" s="106">
        <v>1</v>
      </c>
      <c r="D88" s="107" t="s">
        <v>14</v>
      </c>
      <c r="E88" s="107" t="s">
        <v>504</v>
      </c>
      <c r="F88" s="106">
        <v>4</v>
      </c>
      <c r="G88" s="106">
        <v>4</v>
      </c>
      <c r="H88" s="63" t="s">
        <v>505</v>
      </c>
      <c r="I88" s="33" t="s">
        <v>718</v>
      </c>
      <c r="J88" s="64" t="s">
        <v>718</v>
      </c>
      <c r="K88" s="109" t="s">
        <v>849</v>
      </c>
      <c r="L88" s="36" t="s">
        <v>718</v>
      </c>
      <c r="M88" s="29" t="s">
        <v>399</v>
      </c>
      <c r="N88" s="29" t="s">
        <v>399</v>
      </c>
      <c r="O88" s="29" t="s">
        <v>399</v>
      </c>
      <c r="P88" s="110" t="s">
        <v>399</v>
      </c>
      <c r="Q88" s="35"/>
    </row>
    <row r="89" spans="1:17" ht="30" x14ac:dyDescent="0.25">
      <c r="A89" s="108">
        <v>79</v>
      </c>
      <c r="B89" s="108" t="s">
        <v>410</v>
      </c>
      <c r="C89" s="106">
        <v>1</v>
      </c>
      <c r="D89" s="107" t="s">
        <v>14</v>
      </c>
      <c r="E89" s="107" t="s">
        <v>506</v>
      </c>
      <c r="F89" s="106">
        <v>2</v>
      </c>
      <c r="G89" s="106">
        <v>2</v>
      </c>
      <c r="H89" s="63" t="s">
        <v>507</v>
      </c>
      <c r="I89" s="33" t="s">
        <v>718</v>
      </c>
      <c r="J89" s="64" t="s">
        <v>718</v>
      </c>
      <c r="K89" s="109" t="s">
        <v>847</v>
      </c>
      <c r="L89" s="36" t="s">
        <v>718</v>
      </c>
      <c r="M89" s="29" t="s">
        <v>399</v>
      </c>
      <c r="N89" s="29" t="s">
        <v>399</v>
      </c>
      <c r="O89" s="29" t="s">
        <v>399</v>
      </c>
      <c r="P89" s="110" t="s">
        <v>399</v>
      </c>
      <c r="Q89" s="35"/>
    </row>
    <row r="90" spans="1:17" ht="60" x14ac:dyDescent="0.25">
      <c r="A90" s="108">
        <v>80</v>
      </c>
      <c r="B90" s="108" t="s">
        <v>410</v>
      </c>
      <c r="C90" s="106">
        <v>1</v>
      </c>
      <c r="D90" s="107" t="s">
        <v>14</v>
      </c>
      <c r="E90" s="107" t="s">
        <v>508</v>
      </c>
      <c r="F90" s="106">
        <v>3</v>
      </c>
      <c r="G90" s="106">
        <v>3</v>
      </c>
      <c r="H90" s="63" t="s">
        <v>509</v>
      </c>
      <c r="I90" s="33" t="s">
        <v>718</v>
      </c>
      <c r="J90" s="64" t="s">
        <v>718</v>
      </c>
      <c r="K90" s="109" t="s">
        <v>848</v>
      </c>
      <c r="L90" s="36" t="s">
        <v>718</v>
      </c>
      <c r="M90" s="29" t="s">
        <v>399</v>
      </c>
      <c r="N90" s="29" t="s">
        <v>399</v>
      </c>
      <c r="O90" s="29" t="s">
        <v>399</v>
      </c>
      <c r="P90" s="110" t="s">
        <v>399</v>
      </c>
      <c r="Q90" s="35"/>
    </row>
    <row r="91" spans="1:17" ht="30" x14ac:dyDescent="0.25">
      <c r="A91" s="108">
        <v>81</v>
      </c>
      <c r="B91" s="108" t="s">
        <v>410</v>
      </c>
      <c r="C91" s="106">
        <v>1</v>
      </c>
      <c r="D91" s="107" t="s">
        <v>14</v>
      </c>
      <c r="E91" s="107" t="s">
        <v>510</v>
      </c>
      <c r="F91" s="106">
        <v>1</v>
      </c>
      <c r="G91" s="106">
        <v>1</v>
      </c>
      <c r="H91" s="63" t="s">
        <v>511</v>
      </c>
      <c r="I91" s="33" t="s">
        <v>718</v>
      </c>
      <c r="J91" s="64" t="s">
        <v>718</v>
      </c>
      <c r="K91" s="109" t="s">
        <v>850</v>
      </c>
      <c r="L91" s="36" t="s">
        <v>718</v>
      </c>
      <c r="M91" s="29" t="s">
        <v>399</v>
      </c>
      <c r="N91" s="29" t="s">
        <v>399</v>
      </c>
      <c r="O91" s="29" t="s">
        <v>399</v>
      </c>
      <c r="P91" s="110" t="s">
        <v>399</v>
      </c>
      <c r="Q91" s="35"/>
    </row>
    <row r="92" spans="1:17" x14ac:dyDescent="0.25">
      <c r="A92" s="108">
        <v>82</v>
      </c>
      <c r="B92" s="108" t="s">
        <v>410</v>
      </c>
      <c r="C92" s="106">
        <v>1</v>
      </c>
      <c r="D92" s="107" t="s">
        <v>14</v>
      </c>
      <c r="E92" s="107" t="s">
        <v>512</v>
      </c>
      <c r="F92" s="106">
        <v>1</v>
      </c>
      <c r="G92" s="106">
        <v>1</v>
      </c>
      <c r="H92" s="63" t="s">
        <v>135</v>
      </c>
      <c r="I92" s="33" t="s">
        <v>718</v>
      </c>
      <c r="J92" s="64" t="s">
        <v>718</v>
      </c>
      <c r="K92" s="109" t="s">
        <v>863</v>
      </c>
      <c r="L92" s="36" t="s">
        <v>718</v>
      </c>
      <c r="M92" s="29" t="s">
        <v>399</v>
      </c>
      <c r="N92" s="29" t="s">
        <v>399</v>
      </c>
      <c r="O92" s="29" t="s">
        <v>399</v>
      </c>
      <c r="P92" s="110" t="s">
        <v>399</v>
      </c>
      <c r="Q92" s="35"/>
    </row>
    <row r="93" spans="1:17" x14ac:dyDescent="0.25">
      <c r="A93" s="108">
        <v>83</v>
      </c>
      <c r="B93" s="108" t="s">
        <v>410</v>
      </c>
      <c r="C93" s="106">
        <v>1</v>
      </c>
      <c r="D93" s="107" t="s">
        <v>14</v>
      </c>
      <c r="E93" s="107" t="s">
        <v>15</v>
      </c>
      <c r="F93" s="106">
        <v>2</v>
      </c>
      <c r="G93" s="106">
        <v>2</v>
      </c>
      <c r="H93" s="63" t="s">
        <v>472</v>
      </c>
      <c r="I93" s="33" t="s">
        <v>718</v>
      </c>
      <c r="J93" s="64" t="s">
        <v>718</v>
      </c>
      <c r="K93" s="109" t="s">
        <v>889</v>
      </c>
      <c r="L93" s="36" t="s">
        <v>718</v>
      </c>
      <c r="M93" s="29" t="s">
        <v>399</v>
      </c>
      <c r="N93" s="29" t="s">
        <v>399</v>
      </c>
      <c r="O93" s="29" t="s">
        <v>399</v>
      </c>
      <c r="P93" s="110" t="s">
        <v>399</v>
      </c>
      <c r="Q93" s="35"/>
    </row>
    <row r="94" spans="1:17" x14ac:dyDescent="0.25">
      <c r="A94" s="108">
        <v>84</v>
      </c>
      <c r="B94" s="108" t="s">
        <v>410</v>
      </c>
      <c r="C94" s="106">
        <v>1</v>
      </c>
      <c r="D94" s="107" t="s">
        <v>14</v>
      </c>
      <c r="E94" s="107" t="s">
        <v>513</v>
      </c>
      <c r="F94" s="106">
        <v>2</v>
      </c>
      <c r="G94" s="106">
        <v>2</v>
      </c>
      <c r="H94" s="63" t="s">
        <v>472</v>
      </c>
      <c r="I94" s="33" t="s">
        <v>718</v>
      </c>
      <c r="J94" s="64" t="s">
        <v>718</v>
      </c>
      <c r="K94" s="109" t="s">
        <v>888</v>
      </c>
      <c r="L94" s="36" t="s">
        <v>718</v>
      </c>
      <c r="M94" s="29" t="s">
        <v>399</v>
      </c>
      <c r="N94" s="29" t="s">
        <v>399</v>
      </c>
      <c r="O94" s="29" t="s">
        <v>399</v>
      </c>
      <c r="P94" s="110" t="s">
        <v>399</v>
      </c>
      <c r="Q94" s="35"/>
    </row>
    <row r="95" spans="1:17" ht="45" x14ac:dyDescent="0.25">
      <c r="A95" s="108">
        <v>85</v>
      </c>
      <c r="B95" s="108" t="s">
        <v>410</v>
      </c>
      <c r="C95" s="106">
        <v>1</v>
      </c>
      <c r="D95" s="107" t="s">
        <v>14</v>
      </c>
      <c r="E95" s="107" t="s">
        <v>514</v>
      </c>
      <c r="F95" s="106">
        <v>3</v>
      </c>
      <c r="G95" s="106">
        <v>3</v>
      </c>
      <c r="H95" s="63" t="s">
        <v>515</v>
      </c>
      <c r="I95" s="33" t="s">
        <v>718</v>
      </c>
      <c r="J95" s="64" t="s">
        <v>718</v>
      </c>
      <c r="K95" s="109" t="s">
        <v>864</v>
      </c>
      <c r="L95" s="36" t="s">
        <v>718</v>
      </c>
      <c r="M95" s="29" t="s">
        <v>399</v>
      </c>
      <c r="N95" s="29" t="s">
        <v>399</v>
      </c>
      <c r="O95" s="29" t="s">
        <v>399</v>
      </c>
      <c r="P95" s="110" t="s">
        <v>399</v>
      </c>
      <c r="Q95" s="35"/>
    </row>
    <row r="96" spans="1:17" x14ac:dyDescent="0.25">
      <c r="A96" s="108">
        <v>86</v>
      </c>
      <c r="B96" s="108" t="s">
        <v>410</v>
      </c>
      <c r="C96" s="106">
        <v>1</v>
      </c>
      <c r="D96" s="107" t="s">
        <v>14</v>
      </c>
      <c r="E96" s="107" t="s">
        <v>516</v>
      </c>
      <c r="F96" s="106">
        <v>1</v>
      </c>
      <c r="G96" s="106">
        <v>1</v>
      </c>
      <c r="H96" s="63" t="s">
        <v>517</v>
      </c>
      <c r="I96" s="33" t="s">
        <v>718</v>
      </c>
      <c r="J96" s="64" t="s">
        <v>718</v>
      </c>
      <c r="K96" s="109" t="s">
        <v>865</v>
      </c>
      <c r="L96" s="36" t="s">
        <v>718</v>
      </c>
      <c r="M96" s="29" t="s">
        <v>399</v>
      </c>
      <c r="N96" s="29" t="s">
        <v>399</v>
      </c>
      <c r="O96" s="29" t="s">
        <v>399</v>
      </c>
      <c r="P96" s="110" t="s">
        <v>399</v>
      </c>
      <c r="Q96" s="35"/>
    </row>
    <row r="97" spans="1:17" ht="45" x14ac:dyDescent="0.25">
      <c r="A97" s="108">
        <v>87</v>
      </c>
      <c r="B97" s="108" t="s">
        <v>410</v>
      </c>
      <c r="C97" s="106">
        <v>1</v>
      </c>
      <c r="D97" s="107" t="s">
        <v>14</v>
      </c>
      <c r="E97" s="107" t="s">
        <v>518</v>
      </c>
      <c r="F97" s="106">
        <v>3</v>
      </c>
      <c r="G97" s="106">
        <v>3</v>
      </c>
      <c r="H97" s="63" t="s">
        <v>519</v>
      </c>
      <c r="I97" s="33" t="s">
        <v>718</v>
      </c>
      <c r="J97" s="64" t="s">
        <v>718</v>
      </c>
      <c r="K97" s="109" t="s">
        <v>868</v>
      </c>
      <c r="L97" s="36" t="s">
        <v>718</v>
      </c>
      <c r="M97" s="29" t="s">
        <v>399</v>
      </c>
      <c r="N97" s="29" t="s">
        <v>399</v>
      </c>
      <c r="O97" s="29" t="s">
        <v>399</v>
      </c>
      <c r="P97" s="110" t="s">
        <v>399</v>
      </c>
      <c r="Q97" s="35"/>
    </row>
    <row r="98" spans="1:17" x14ac:dyDescent="0.25">
      <c r="A98" s="108">
        <v>88</v>
      </c>
      <c r="B98" s="108" t="s">
        <v>410</v>
      </c>
      <c r="C98" s="106">
        <v>1</v>
      </c>
      <c r="D98" s="107" t="s">
        <v>14</v>
      </c>
      <c r="E98" s="107" t="s">
        <v>520</v>
      </c>
      <c r="F98" s="106">
        <v>1</v>
      </c>
      <c r="G98" s="106">
        <v>1</v>
      </c>
      <c r="H98" s="63" t="s">
        <v>521</v>
      </c>
      <c r="I98" s="33" t="s">
        <v>718</v>
      </c>
      <c r="J98" s="64" t="s">
        <v>718</v>
      </c>
      <c r="K98" s="109" t="s">
        <v>873</v>
      </c>
      <c r="L98" s="36" t="s">
        <v>718</v>
      </c>
      <c r="M98" s="29" t="s">
        <v>399</v>
      </c>
      <c r="N98" s="29" t="s">
        <v>399</v>
      </c>
      <c r="O98" s="29" t="s">
        <v>399</v>
      </c>
      <c r="P98" s="110" t="s">
        <v>399</v>
      </c>
      <c r="Q98" s="35"/>
    </row>
    <row r="99" spans="1:17" ht="54" x14ac:dyDescent="0.25">
      <c r="A99" s="108">
        <v>89</v>
      </c>
      <c r="B99" s="108" t="s">
        <v>410</v>
      </c>
      <c r="C99" s="106">
        <v>1</v>
      </c>
      <c r="D99" s="107" t="s">
        <v>14</v>
      </c>
      <c r="E99" s="107" t="s">
        <v>522</v>
      </c>
      <c r="F99" s="106">
        <v>8</v>
      </c>
      <c r="G99" s="106">
        <v>8</v>
      </c>
      <c r="H99" s="63" t="s">
        <v>866</v>
      </c>
      <c r="I99" s="33" t="s">
        <v>718</v>
      </c>
      <c r="J99" s="64" t="s">
        <v>718</v>
      </c>
      <c r="K99" s="109" t="s">
        <v>867</v>
      </c>
      <c r="L99" s="36" t="s">
        <v>718</v>
      </c>
      <c r="M99" s="29" t="s">
        <v>399</v>
      </c>
      <c r="N99" s="29" t="s">
        <v>399</v>
      </c>
      <c r="O99" s="29" t="s">
        <v>399</v>
      </c>
      <c r="P99" s="110" t="s">
        <v>399</v>
      </c>
      <c r="Q99" s="35"/>
    </row>
    <row r="100" spans="1:17" ht="45" x14ac:dyDescent="0.25">
      <c r="A100" s="108">
        <v>90</v>
      </c>
      <c r="B100" s="108" t="s">
        <v>410</v>
      </c>
      <c r="C100" s="106">
        <v>1</v>
      </c>
      <c r="D100" s="107" t="s">
        <v>14</v>
      </c>
      <c r="E100" s="107" t="s">
        <v>523</v>
      </c>
      <c r="F100" s="106">
        <v>6</v>
      </c>
      <c r="G100" s="106">
        <v>6</v>
      </c>
      <c r="H100" s="63" t="s">
        <v>871</v>
      </c>
      <c r="I100" s="33" t="s">
        <v>718</v>
      </c>
      <c r="J100" s="64" t="s">
        <v>718</v>
      </c>
      <c r="K100" s="109" t="s">
        <v>872</v>
      </c>
      <c r="L100" s="36" t="s">
        <v>718</v>
      </c>
      <c r="M100" s="29" t="s">
        <v>399</v>
      </c>
      <c r="N100" s="29" t="s">
        <v>399</v>
      </c>
      <c r="O100" s="29" t="s">
        <v>399</v>
      </c>
      <c r="P100" s="110" t="s">
        <v>399</v>
      </c>
      <c r="Q100" s="35"/>
    </row>
    <row r="101" spans="1:17" ht="45" x14ac:dyDescent="0.25">
      <c r="A101" s="108">
        <v>91</v>
      </c>
      <c r="B101" s="108" t="s">
        <v>410</v>
      </c>
      <c r="C101" s="106">
        <v>1</v>
      </c>
      <c r="D101" s="107" t="s">
        <v>14</v>
      </c>
      <c r="E101" s="107" t="s">
        <v>524</v>
      </c>
      <c r="F101" s="106">
        <v>24</v>
      </c>
      <c r="G101" s="106">
        <v>24</v>
      </c>
      <c r="H101" s="63" t="s">
        <v>515</v>
      </c>
      <c r="I101" s="33" t="s">
        <v>718</v>
      </c>
      <c r="J101" s="64" t="s">
        <v>718</v>
      </c>
      <c r="K101" s="109" t="s">
        <v>874</v>
      </c>
      <c r="L101" s="36" t="s">
        <v>718</v>
      </c>
      <c r="M101" s="29" t="s">
        <v>399</v>
      </c>
      <c r="N101" s="29" t="s">
        <v>399</v>
      </c>
      <c r="O101" s="29" t="s">
        <v>399</v>
      </c>
      <c r="P101" s="110" t="s">
        <v>399</v>
      </c>
      <c r="Q101" s="35"/>
    </row>
    <row r="102" spans="1:17" x14ac:dyDescent="0.25">
      <c r="A102" s="108">
        <v>92</v>
      </c>
      <c r="B102" s="108" t="s">
        <v>410</v>
      </c>
      <c r="C102" s="106">
        <v>1</v>
      </c>
      <c r="D102" s="107" t="s">
        <v>14</v>
      </c>
      <c r="E102" s="107" t="s">
        <v>525</v>
      </c>
      <c r="F102" s="106">
        <v>1</v>
      </c>
      <c r="G102" s="106">
        <v>1</v>
      </c>
      <c r="H102" s="63" t="s">
        <v>526</v>
      </c>
      <c r="I102" s="33" t="s">
        <v>718</v>
      </c>
      <c r="J102" s="64" t="s">
        <v>718</v>
      </c>
      <c r="K102" s="109" t="s">
        <v>870</v>
      </c>
      <c r="L102" s="36" t="s">
        <v>718</v>
      </c>
      <c r="M102" s="29" t="s">
        <v>399</v>
      </c>
      <c r="N102" s="29" t="s">
        <v>399</v>
      </c>
      <c r="O102" s="29" t="s">
        <v>399</v>
      </c>
      <c r="P102" s="110" t="s">
        <v>399</v>
      </c>
      <c r="Q102" s="35"/>
    </row>
    <row r="103" spans="1:17" x14ac:dyDescent="0.25">
      <c r="A103" s="108">
        <v>93</v>
      </c>
      <c r="B103" s="108" t="s">
        <v>410</v>
      </c>
      <c r="C103" s="106">
        <v>1</v>
      </c>
      <c r="D103" s="107" t="s">
        <v>14</v>
      </c>
      <c r="E103" s="107" t="s">
        <v>527</v>
      </c>
      <c r="F103" s="106">
        <v>1</v>
      </c>
      <c r="G103" s="106">
        <v>1</v>
      </c>
      <c r="H103" s="63" t="s">
        <v>528</v>
      </c>
      <c r="I103" s="33" t="s">
        <v>718</v>
      </c>
      <c r="J103" s="64" t="s">
        <v>718</v>
      </c>
      <c r="K103" s="109" t="s">
        <v>869</v>
      </c>
      <c r="L103" s="36" t="s">
        <v>718</v>
      </c>
      <c r="M103" s="29" t="s">
        <v>399</v>
      </c>
      <c r="N103" s="29" t="s">
        <v>399</v>
      </c>
      <c r="O103" s="29" t="s">
        <v>399</v>
      </c>
      <c r="P103" s="110" t="s">
        <v>399</v>
      </c>
      <c r="Q103" s="35"/>
    </row>
    <row r="104" spans="1:17" x14ac:dyDescent="0.25">
      <c r="A104" s="108">
        <v>94</v>
      </c>
      <c r="B104" s="108" t="s">
        <v>410</v>
      </c>
      <c r="C104" s="106">
        <v>1</v>
      </c>
      <c r="D104" s="107" t="s">
        <v>14</v>
      </c>
      <c r="E104" s="107" t="s">
        <v>529</v>
      </c>
      <c r="F104" s="106">
        <v>1</v>
      </c>
      <c r="G104" s="106">
        <v>1</v>
      </c>
      <c r="H104" s="63" t="s">
        <v>530</v>
      </c>
      <c r="I104" s="33" t="s">
        <v>718</v>
      </c>
      <c r="J104" s="64" t="s">
        <v>718</v>
      </c>
      <c r="K104" s="109" t="s">
        <v>880</v>
      </c>
      <c r="L104" s="36" t="s">
        <v>718</v>
      </c>
      <c r="M104" s="29" t="s">
        <v>399</v>
      </c>
      <c r="N104" s="29" t="s">
        <v>399</v>
      </c>
      <c r="O104" s="29" t="s">
        <v>399</v>
      </c>
      <c r="P104" s="110" t="s">
        <v>399</v>
      </c>
      <c r="Q104" s="35"/>
    </row>
    <row r="105" spans="1:17" x14ac:dyDescent="0.25">
      <c r="A105" s="108">
        <v>95</v>
      </c>
      <c r="B105" s="108" t="s">
        <v>410</v>
      </c>
      <c r="C105" s="106">
        <v>1</v>
      </c>
      <c r="D105" s="107" t="s">
        <v>14</v>
      </c>
      <c r="E105" s="107" t="s">
        <v>531</v>
      </c>
      <c r="F105" s="106">
        <v>1</v>
      </c>
      <c r="G105" s="106">
        <v>1</v>
      </c>
      <c r="H105" s="63" t="s">
        <v>83</v>
      </c>
      <c r="I105" s="33" t="s">
        <v>718</v>
      </c>
      <c r="J105" s="64" t="s">
        <v>718</v>
      </c>
      <c r="K105" s="109" t="s">
        <v>897</v>
      </c>
      <c r="L105" s="36" t="s">
        <v>718</v>
      </c>
      <c r="M105" s="29" t="s">
        <v>399</v>
      </c>
      <c r="N105" s="29" t="s">
        <v>399</v>
      </c>
      <c r="O105" s="29" t="s">
        <v>399</v>
      </c>
      <c r="P105" s="110" t="s">
        <v>399</v>
      </c>
      <c r="Q105" s="35"/>
    </row>
    <row r="106" spans="1:17" x14ac:dyDescent="0.25">
      <c r="A106" s="108">
        <v>96</v>
      </c>
      <c r="B106" s="108" t="s">
        <v>410</v>
      </c>
      <c r="C106" s="106">
        <v>1</v>
      </c>
      <c r="D106" s="107" t="s">
        <v>14</v>
      </c>
      <c r="E106" s="107" t="s">
        <v>532</v>
      </c>
      <c r="F106" s="106">
        <v>1</v>
      </c>
      <c r="G106" s="106">
        <v>1</v>
      </c>
      <c r="H106" s="63" t="s">
        <v>84</v>
      </c>
      <c r="I106" s="33" t="s">
        <v>718</v>
      </c>
      <c r="J106" s="64" t="s">
        <v>718</v>
      </c>
      <c r="K106" s="109" t="s">
        <v>895</v>
      </c>
      <c r="L106" s="36" t="s">
        <v>718</v>
      </c>
      <c r="M106" s="29" t="s">
        <v>399</v>
      </c>
      <c r="N106" s="29" t="s">
        <v>399</v>
      </c>
      <c r="O106" s="29" t="s">
        <v>399</v>
      </c>
      <c r="P106" s="110" t="s">
        <v>399</v>
      </c>
      <c r="Q106" s="35"/>
    </row>
    <row r="107" spans="1:17" ht="30" x14ac:dyDescent="0.25">
      <c r="A107" s="108">
        <v>97</v>
      </c>
      <c r="B107" s="108" t="s">
        <v>410</v>
      </c>
      <c r="C107" s="106">
        <v>1</v>
      </c>
      <c r="D107" s="107" t="s">
        <v>14</v>
      </c>
      <c r="E107" s="107" t="s">
        <v>533</v>
      </c>
      <c r="F107" s="106">
        <v>2</v>
      </c>
      <c r="G107" s="106">
        <v>2</v>
      </c>
      <c r="H107" s="63" t="s">
        <v>534</v>
      </c>
      <c r="I107" s="33" t="s">
        <v>718</v>
      </c>
      <c r="J107" s="64" t="s">
        <v>718</v>
      </c>
      <c r="K107" s="109" t="s">
        <v>898</v>
      </c>
      <c r="L107" s="36" t="s">
        <v>718</v>
      </c>
      <c r="M107" s="29" t="s">
        <v>399</v>
      </c>
      <c r="N107" s="29" t="s">
        <v>399</v>
      </c>
      <c r="O107" s="29" t="s">
        <v>399</v>
      </c>
      <c r="P107" s="110" t="s">
        <v>399</v>
      </c>
      <c r="Q107" s="35"/>
    </row>
    <row r="108" spans="1:17" ht="30" x14ac:dyDescent="0.25">
      <c r="A108" s="108">
        <v>98</v>
      </c>
      <c r="B108" s="108" t="s">
        <v>410</v>
      </c>
      <c r="C108" s="106">
        <v>1</v>
      </c>
      <c r="D108" s="107" t="s">
        <v>14</v>
      </c>
      <c r="E108" s="107" t="s">
        <v>535</v>
      </c>
      <c r="F108" s="106">
        <v>2</v>
      </c>
      <c r="G108" s="106">
        <v>2</v>
      </c>
      <c r="H108" s="63" t="s">
        <v>534</v>
      </c>
      <c r="I108" s="33" t="s">
        <v>718</v>
      </c>
      <c r="J108" s="64" t="s">
        <v>718</v>
      </c>
      <c r="K108" s="109" t="s">
        <v>964</v>
      </c>
      <c r="L108" s="36" t="s">
        <v>718</v>
      </c>
      <c r="M108" s="29" t="s">
        <v>726</v>
      </c>
      <c r="N108" s="29" t="s">
        <v>399</v>
      </c>
      <c r="O108" s="29" t="s">
        <v>399</v>
      </c>
      <c r="P108" s="110" t="s">
        <v>399</v>
      </c>
      <c r="Q108" s="35"/>
    </row>
    <row r="109" spans="1:17" x14ac:dyDescent="0.25">
      <c r="A109" s="108">
        <v>99</v>
      </c>
      <c r="B109" s="108" t="s">
        <v>410</v>
      </c>
      <c r="C109" s="106">
        <v>1</v>
      </c>
      <c r="D109" s="107" t="s">
        <v>14</v>
      </c>
      <c r="E109" s="107" t="s">
        <v>536</v>
      </c>
      <c r="F109" s="106">
        <v>1</v>
      </c>
      <c r="G109" s="106">
        <v>1</v>
      </c>
      <c r="H109" s="63" t="s">
        <v>85</v>
      </c>
      <c r="I109" s="33" t="s">
        <v>718</v>
      </c>
      <c r="J109" s="64" t="s">
        <v>718</v>
      </c>
      <c r="K109" s="109" t="s">
        <v>963</v>
      </c>
      <c r="L109" s="36" t="s">
        <v>718</v>
      </c>
      <c r="M109" s="29" t="s">
        <v>726</v>
      </c>
      <c r="N109" s="29" t="s">
        <v>399</v>
      </c>
      <c r="O109" s="29" t="s">
        <v>399</v>
      </c>
      <c r="P109" s="110" t="s">
        <v>399</v>
      </c>
      <c r="Q109" s="35"/>
    </row>
    <row r="110" spans="1:17" ht="30" x14ac:dyDescent="0.25">
      <c r="A110" s="108">
        <v>100</v>
      </c>
      <c r="B110" s="108" t="s">
        <v>410</v>
      </c>
      <c r="C110" s="106">
        <v>1</v>
      </c>
      <c r="D110" s="107" t="s">
        <v>14</v>
      </c>
      <c r="E110" s="107" t="s">
        <v>537</v>
      </c>
      <c r="F110" s="106">
        <v>1</v>
      </c>
      <c r="G110" s="106">
        <v>1</v>
      </c>
      <c r="H110" s="63" t="s">
        <v>83</v>
      </c>
      <c r="I110" s="33" t="s">
        <v>718</v>
      </c>
      <c r="J110" s="64" t="s">
        <v>718</v>
      </c>
      <c r="K110" s="109" t="s">
        <v>965</v>
      </c>
      <c r="L110" s="36" t="s">
        <v>718</v>
      </c>
      <c r="M110" s="29" t="s">
        <v>726</v>
      </c>
      <c r="N110" s="29" t="s">
        <v>399</v>
      </c>
      <c r="O110" s="29" t="s">
        <v>399</v>
      </c>
      <c r="P110" s="110" t="s">
        <v>399</v>
      </c>
      <c r="Q110" s="35"/>
    </row>
    <row r="111" spans="1:17" ht="30" x14ac:dyDescent="0.25">
      <c r="A111" s="108">
        <v>101</v>
      </c>
      <c r="B111" s="108" t="s">
        <v>410</v>
      </c>
      <c r="C111" s="106">
        <v>1</v>
      </c>
      <c r="D111" s="107" t="s">
        <v>14</v>
      </c>
      <c r="E111" s="107" t="s">
        <v>538</v>
      </c>
      <c r="F111" s="106">
        <v>2</v>
      </c>
      <c r="G111" s="106">
        <v>2</v>
      </c>
      <c r="H111" s="63" t="s">
        <v>539</v>
      </c>
      <c r="I111" s="33" t="s">
        <v>718</v>
      </c>
      <c r="J111" s="64" t="s">
        <v>718</v>
      </c>
      <c r="K111" s="109" t="s">
        <v>966</v>
      </c>
      <c r="L111" s="36" t="s">
        <v>718</v>
      </c>
      <c r="M111" s="29" t="s">
        <v>726</v>
      </c>
      <c r="N111" s="29" t="s">
        <v>399</v>
      </c>
      <c r="O111" s="29" t="s">
        <v>399</v>
      </c>
      <c r="P111" s="110" t="s">
        <v>399</v>
      </c>
      <c r="Q111" s="35"/>
    </row>
    <row r="112" spans="1:17" x14ac:dyDescent="0.25">
      <c r="A112" s="108">
        <v>102</v>
      </c>
      <c r="B112" s="108" t="s">
        <v>410</v>
      </c>
      <c r="C112" s="106">
        <v>1</v>
      </c>
      <c r="D112" s="107" t="s">
        <v>14</v>
      </c>
      <c r="E112" s="107" t="s">
        <v>540</v>
      </c>
      <c r="F112" s="106">
        <v>1</v>
      </c>
      <c r="G112" s="106">
        <v>1</v>
      </c>
      <c r="H112" s="63" t="s">
        <v>85</v>
      </c>
      <c r="I112" s="33" t="s">
        <v>718</v>
      </c>
      <c r="J112" s="64" t="s">
        <v>718</v>
      </c>
      <c r="K112" s="109" t="s">
        <v>896</v>
      </c>
      <c r="L112" s="36" t="s">
        <v>718</v>
      </c>
      <c r="M112" s="29" t="s">
        <v>399</v>
      </c>
      <c r="N112" s="29" t="s">
        <v>399</v>
      </c>
      <c r="O112" s="29" t="s">
        <v>399</v>
      </c>
      <c r="P112" s="110" t="s">
        <v>399</v>
      </c>
      <c r="Q112" s="35"/>
    </row>
    <row r="113" spans="1:17" x14ac:dyDescent="0.25">
      <c r="A113" s="108">
        <v>103</v>
      </c>
      <c r="B113" s="108" t="s">
        <v>410</v>
      </c>
      <c r="C113" s="106">
        <v>1</v>
      </c>
      <c r="D113" s="107" t="s">
        <v>14</v>
      </c>
      <c r="E113" s="107" t="s">
        <v>541</v>
      </c>
      <c r="F113" s="106">
        <v>1</v>
      </c>
      <c r="G113" s="106">
        <v>1</v>
      </c>
      <c r="H113" s="63" t="s">
        <v>86</v>
      </c>
      <c r="I113" s="33" t="s">
        <v>718</v>
      </c>
      <c r="J113" s="64" t="s">
        <v>718</v>
      </c>
      <c r="K113" s="109" t="s">
        <v>894</v>
      </c>
      <c r="L113" s="36" t="s">
        <v>718</v>
      </c>
      <c r="M113" s="29" t="s">
        <v>399</v>
      </c>
      <c r="N113" s="29" t="s">
        <v>399</v>
      </c>
      <c r="O113" s="29" t="s">
        <v>399</v>
      </c>
      <c r="P113" s="110" t="s">
        <v>399</v>
      </c>
      <c r="Q113" s="35"/>
    </row>
    <row r="114" spans="1:17" x14ac:dyDescent="0.25">
      <c r="A114" s="108">
        <v>104</v>
      </c>
      <c r="B114" s="108" t="s">
        <v>410</v>
      </c>
      <c r="C114" s="106">
        <v>1</v>
      </c>
      <c r="D114" s="107" t="s">
        <v>14</v>
      </c>
      <c r="E114" s="107" t="s">
        <v>17</v>
      </c>
      <c r="F114" s="106">
        <v>1</v>
      </c>
      <c r="G114" s="106">
        <v>1</v>
      </c>
      <c r="H114" s="63" t="s">
        <v>16</v>
      </c>
      <c r="I114" s="33" t="s">
        <v>718</v>
      </c>
      <c r="J114" s="64" t="s">
        <v>718</v>
      </c>
      <c r="K114" s="109" t="s">
        <v>890</v>
      </c>
      <c r="L114" s="36" t="s">
        <v>718</v>
      </c>
      <c r="M114" s="29" t="s">
        <v>399</v>
      </c>
      <c r="N114" s="29" t="s">
        <v>399</v>
      </c>
      <c r="O114" s="29" t="s">
        <v>399</v>
      </c>
      <c r="P114" s="110" t="s">
        <v>399</v>
      </c>
      <c r="Q114" s="35"/>
    </row>
    <row r="115" spans="1:17" ht="30" x14ac:dyDescent="0.25">
      <c r="A115" s="108">
        <v>105</v>
      </c>
      <c r="B115" s="108" t="s">
        <v>410</v>
      </c>
      <c r="C115" s="106">
        <v>1</v>
      </c>
      <c r="D115" s="107" t="s">
        <v>14</v>
      </c>
      <c r="E115" s="107" t="s">
        <v>542</v>
      </c>
      <c r="F115" s="106">
        <v>2</v>
      </c>
      <c r="G115" s="106">
        <v>2</v>
      </c>
      <c r="H115" s="63" t="s">
        <v>812</v>
      </c>
      <c r="I115" s="33" t="s">
        <v>718</v>
      </c>
      <c r="J115" s="64" t="s">
        <v>718</v>
      </c>
      <c r="K115" s="109" t="s">
        <v>857</v>
      </c>
      <c r="L115" s="36" t="s">
        <v>718</v>
      </c>
      <c r="M115" s="29" t="s">
        <v>399</v>
      </c>
      <c r="N115" s="29" t="s">
        <v>399</v>
      </c>
      <c r="O115" s="29" t="s">
        <v>399</v>
      </c>
      <c r="P115" s="110" t="s">
        <v>399</v>
      </c>
      <c r="Q115" s="35"/>
    </row>
    <row r="116" spans="1:17" x14ac:dyDescent="0.25">
      <c r="A116" s="108">
        <v>106</v>
      </c>
      <c r="B116" s="108" t="s">
        <v>410</v>
      </c>
      <c r="C116" s="106">
        <v>1</v>
      </c>
      <c r="D116" s="107" t="s">
        <v>14</v>
      </c>
      <c r="E116" s="107" t="s">
        <v>543</v>
      </c>
      <c r="F116" s="106">
        <v>1</v>
      </c>
      <c r="G116" s="106">
        <v>1</v>
      </c>
      <c r="H116" s="63" t="s">
        <v>858</v>
      </c>
      <c r="I116" s="33" t="s">
        <v>718</v>
      </c>
      <c r="J116" s="64" t="s">
        <v>718</v>
      </c>
      <c r="K116" s="109" t="s">
        <v>859</v>
      </c>
      <c r="L116" s="36" t="s">
        <v>718</v>
      </c>
      <c r="M116" s="29" t="s">
        <v>399</v>
      </c>
      <c r="N116" s="29" t="s">
        <v>399</v>
      </c>
      <c r="O116" s="29" t="s">
        <v>399</v>
      </c>
      <c r="P116" s="110" t="s">
        <v>399</v>
      </c>
      <c r="Q116" s="35"/>
    </row>
    <row r="117" spans="1:17" ht="30" x14ac:dyDescent="0.25">
      <c r="A117" s="108">
        <v>107</v>
      </c>
      <c r="B117" s="108" t="s">
        <v>410</v>
      </c>
      <c r="C117" s="106">
        <v>1</v>
      </c>
      <c r="D117" s="107" t="s">
        <v>14</v>
      </c>
      <c r="E117" s="107" t="s">
        <v>544</v>
      </c>
      <c r="F117" s="106">
        <v>3</v>
      </c>
      <c r="G117" s="106">
        <v>3</v>
      </c>
      <c r="H117" s="63" t="s">
        <v>545</v>
      </c>
      <c r="I117" s="33" t="s">
        <v>718</v>
      </c>
      <c r="J117" s="64" t="s">
        <v>718</v>
      </c>
      <c r="K117" s="109" t="s">
        <v>854</v>
      </c>
      <c r="L117" s="36" t="s">
        <v>718</v>
      </c>
      <c r="M117" s="29" t="s">
        <v>399</v>
      </c>
      <c r="N117" s="29" t="s">
        <v>399</v>
      </c>
      <c r="O117" s="29" t="s">
        <v>399</v>
      </c>
      <c r="P117" s="110" t="s">
        <v>399</v>
      </c>
      <c r="Q117" s="35"/>
    </row>
    <row r="118" spans="1:17" x14ac:dyDescent="0.25">
      <c r="A118" s="108">
        <v>108</v>
      </c>
      <c r="B118" s="108" t="s">
        <v>410</v>
      </c>
      <c r="C118" s="106">
        <v>1</v>
      </c>
      <c r="D118" s="107" t="s">
        <v>14</v>
      </c>
      <c r="E118" s="107" t="s">
        <v>546</v>
      </c>
      <c r="F118" s="106">
        <v>1</v>
      </c>
      <c r="G118" s="106">
        <v>1</v>
      </c>
      <c r="H118" s="63" t="s">
        <v>547</v>
      </c>
      <c r="I118" s="33" t="s">
        <v>718</v>
      </c>
      <c r="J118" s="64" t="s">
        <v>718</v>
      </c>
      <c r="K118" s="109" t="s">
        <v>856</v>
      </c>
      <c r="L118" s="36" t="s">
        <v>718</v>
      </c>
      <c r="M118" s="29" t="s">
        <v>399</v>
      </c>
      <c r="N118" s="29" t="s">
        <v>399</v>
      </c>
      <c r="O118" s="29" t="s">
        <v>399</v>
      </c>
      <c r="P118" s="110" t="s">
        <v>399</v>
      </c>
      <c r="Q118" s="35"/>
    </row>
    <row r="119" spans="1:17" ht="30" x14ac:dyDescent="0.25">
      <c r="A119" s="108">
        <v>109</v>
      </c>
      <c r="B119" s="108" t="s">
        <v>410</v>
      </c>
      <c r="C119" s="106">
        <v>1</v>
      </c>
      <c r="D119" s="107" t="s">
        <v>14</v>
      </c>
      <c r="E119" s="107" t="s">
        <v>548</v>
      </c>
      <c r="F119" s="106">
        <v>4</v>
      </c>
      <c r="G119" s="106">
        <v>4</v>
      </c>
      <c r="H119" s="63" t="s">
        <v>722</v>
      </c>
      <c r="I119" s="33" t="s">
        <v>718</v>
      </c>
      <c r="J119" s="64" t="s">
        <v>718</v>
      </c>
      <c r="K119" s="109" t="s">
        <v>845</v>
      </c>
      <c r="L119" s="36" t="s">
        <v>718</v>
      </c>
      <c r="M119" s="29" t="s">
        <v>726</v>
      </c>
      <c r="N119" s="29" t="s">
        <v>399</v>
      </c>
      <c r="O119" s="29" t="s">
        <v>399</v>
      </c>
      <c r="P119" s="110" t="s">
        <v>399</v>
      </c>
      <c r="Q119" s="35"/>
    </row>
    <row r="120" spans="1:17" ht="30" x14ac:dyDescent="0.25">
      <c r="A120" s="108">
        <v>110</v>
      </c>
      <c r="B120" s="108" t="s">
        <v>410</v>
      </c>
      <c r="C120" s="106">
        <v>1</v>
      </c>
      <c r="D120" s="107" t="s">
        <v>14</v>
      </c>
      <c r="E120" s="107" t="s">
        <v>550</v>
      </c>
      <c r="F120" s="106">
        <v>2</v>
      </c>
      <c r="G120" s="106">
        <v>2</v>
      </c>
      <c r="H120" s="63" t="s">
        <v>551</v>
      </c>
      <c r="I120" s="33" t="s">
        <v>718</v>
      </c>
      <c r="J120" s="64" t="s">
        <v>718</v>
      </c>
      <c r="K120" s="109" t="s">
        <v>861</v>
      </c>
      <c r="L120" s="36" t="s">
        <v>718</v>
      </c>
      <c r="M120" s="29" t="s">
        <v>399</v>
      </c>
      <c r="N120" s="29" t="s">
        <v>399</v>
      </c>
      <c r="O120" s="29" t="s">
        <v>399</v>
      </c>
      <c r="P120" s="110" t="s">
        <v>399</v>
      </c>
      <c r="Q120" s="35"/>
    </row>
    <row r="121" spans="1:17" ht="30" x14ac:dyDescent="0.25">
      <c r="A121" s="108">
        <v>111</v>
      </c>
      <c r="B121" s="108" t="s">
        <v>410</v>
      </c>
      <c r="C121" s="106">
        <v>1</v>
      </c>
      <c r="D121" s="107" t="s">
        <v>14</v>
      </c>
      <c r="E121" s="107" t="s">
        <v>552</v>
      </c>
      <c r="F121" s="106">
        <v>2</v>
      </c>
      <c r="G121" s="106">
        <v>2</v>
      </c>
      <c r="H121" s="63" t="s">
        <v>551</v>
      </c>
      <c r="I121" s="33" t="s">
        <v>718</v>
      </c>
      <c r="J121" s="64" t="s">
        <v>718</v>
      </c>
      <c r="K121" s="109" t="s">
        <v>860</v>
      </c>
      <c r="L121" s="36" t="s">
        <v>718</v>
      </c>
      <c r="M121" s="29" t="s">
        <v>399</v>
      </c>
      <c r="N121" s="29" t="s">
        <v>399</v>
      </c>
      <c r="O121" s="29" t="s">
        <v>399</v>
      </c>
      <c r="P121" s="110" t="s">
        <v>399</v>
      </c>
      <c r="Q121" s="35"/>
    </row>
    <row r="122" spans="1:17" ht="54" x14ac:dyDescent="0.25">
      <c r="A122" s="108">
        <v>112</v>
      </c>
      <c r="B122" s="108" t="s">
        <v>410</v>
      </c>
      <c r="C122" s="106">
        <v>1</v>
      </c>
      <c r="D122" s="107" t="s">
        <v>14</v>
      </c>
      <c r="E122" s="107" t="s">
        <v>553</v>
      </c>
      <c r="F122" s="106">
        <v>12</v>
      </c>
      <c r="G122" s="106">
        <v>12</v>
      </c>
      <c r="H122" s="63" t="s">
        <v>891</v>
      </c>
      <c r="I122" s="33" t="s">
        <v>718</v>
      </c>
      <c r="J122" s="64" t="s">
        <v>718</v>
      </c>
      <c r="K122" s="109" t="s">
        <v>892</v>
      </c>
      <c r="L122" s="36" t="s">
        <v>718</v>
      </c>
      <c r="M122" s="29" t="s">
        <v>726</v>
      </c>
      <c r="N122" s="29" t="s">
        <v>399</v>
      </c>
      <c r="O122" s="29" t="s">
        <v>399</v>
      </c>
      <c r="P122" s="110" t="s">
        <v>399</v>
      </c>
      <c r="Q122" s="35"/>
    </row>
    <row r="123" spans="1:17" ht="54" x14ac:dyDescent="0.25">
      <c r="A123" s="108">
        <v>113</v>
      </c>
      <c r="B123" s="108" t="s">
        <v>410</v>
      </c>
      <c r="C123" s="106">
        <v>1</v>
      </c>
      <c r="D123" s="107" t="s">
        <v>14</v>
      </c>
      <c r="E123" s="107" t="s">
        <v>554</v>
      </c>
      <c r="F123" s="106">
        <v>12</v>
      </c>
      <c r="G123" s="106">
        <v>12</v>
      </c>
      <c r="H123" s="63" t="s">
        <v>891</v>
      </c>
      <c r="I123" s="33" t="s">
        <v>718</v>
      </c>
      <c r="J123" s="64" t="s">
        <v>718</v>
      </c>
      <c r="K123" s="109" t="s">
        <v>893</v>
      </c>
      <c r="L123" s="36" t="s">
        <v>718</v>
      </c>
      <c r="M123" s="29" t="s">
        <v>399</v>
      </c>
      <c r="N123" s="29" t="s">
        <v>399</v>
      </c>
      <c r="O123" s="29" t="s">
        <v>399</v>
      </c>
      <c r="P123" s="110" t="s">
        <v>399</v>
      </c>
      <c r="Q123" s="35"/>
    </row>
    <row r="124" spans="1:17" x14ac:dyDescent="0.25">
      <c r="A124" s="108">
        <v>114</v>
      </c>
      <c r="B124" s="108" t="s">
        <v>410</v>
      </c>
      <c r="C124" s="106">
        <v>1</v>
      </c>
      <c r="D124" s="107" t="s">
        <v>14</v>
      </c>
      <c r="E124" s="107" t="s">
        <v>555</v>
      </c>
      <c r="F124" s="106">
        <v>1</v>
      </c>
      <c r="G124" s="106">
        <v>1</v>
      </c>
      <c r="H124" s="63" t="s">
        <v>556</v>
      </c>
      <c r="I124" s="33" t="s">
        <v>718</v>
      </c>
      <c r="J124" s="64" t="s">
        <v>718</v>
      </c>
      <c r="K124" s="109" t="s">
        <v>855</v>
      </c>
      <c r="L124" s="36" t="s">
        <v>718</v>
      </c>
      <c r="M124" s="29" t="s">
        <v>399</v>
      </c>
      <c r="N124" s="29" t="s">
        <v>399</v>
      </c>
      <c r="O124" s="29" t="s">
        <v>399</v>
      </c>
      <c r="P124" s="110" t="s">
        <v>399</v>
      </c>
      <c r="Q124" s="35"/>
    </row>
    <row r="125" spans="1:17" x14ac:dyDescent="0.25">
      <c r="A125" s="108">
        <v>115</v>
      </c>
      <c r="B125" s="108" t="s">
        <v>410</v>
      </c>
      <c r="C125" s="106">
        <v>1</v>
      </c>
      <c r="D125" s="107" t="s">
        <v>14</v>
      </c>
      <c r="E125" s="107" t="s">
        <v>557</v>
      </c>
      <c r="F125" s="106">
        <v>1</v>
      </c>
      <c r="G125" s="106">
        <v>1</v>
      </c>
      <c r="H125" s="63" t="s">
        <v>558</v>
      </c>
      <c r="I125" s="33" t="s">
        <v>718</v>
      </c>
      <c r="J125" s="64" t="s">
        <v>718</v>
      </c>
      <c r="K125" s="109" t="s">
        <v>851</v>
      </c>
      <c r="L125" s="36" t="s">
        <v>718</v>
      </c>
      <c r="M125" s="29" t="s">
        <v>399</v>
      </c>
      <c r="N125" s="29" t="s">
        <v>399</v>
      </c>
      <c r="O125" s="29" t="s">
        <v>399</v>
      </c>
      <c r="P125" s="110" t="s">
        <v>399</v>
      </c>
      <c r="Q125" s="35"/>
    </row>
    <row r="126" spans="1:17" ht="45" x14ac:dyDescent="0.25">
      <c r="A126" s="108">
        <v>116</v>
      </c>
      <c r="B126" s="108" t="s">
        <v>410</v>
      </c>
      <c r="C126" s="106">
        <v>1</v>
      </c>
      <c r="D126" s="107" t="s">
        <v>14</v>
      </c>
      <c r="E126" s="107" t="s">
        <v>559</v>
      </c>
      <c r="F126" s="106">
        <v>4</v>
      </c>
      <c r="G126" s="106">
        <v>4</v>
      </c>
      <c r="H126" s="63" t="s">
        <v>560</v>
      </c>
      <c r="I126" s="33" t="s">
        <v>718</v>
      </c>
      <c r="J126" s="64" t="s">
        <v>718</v>
      </c>
      <c r="K126" s="109" t="s">
        <v>852</v>
      </c>
      <c r="L126" s="36" t="s">
        <v>718</v>
      </c>
      <c r="M126" s="29" t="s">
        <v>399</v>
      </c>
      <c r="N126" s="29" t="s">
        <v>399</v>
      </c>
      <c r="O126" s="29" t="s">
        <v>399</v>
      </c>
      <c r="P126" s="110" t="s">
        <v>399</v>
      </c>
      <c r="Q126" s="35"/>
    </row>
    <row r="127" spans="1:17" ht="75" x14ac:dyDescent="0.25">
      <c r="A127" s="108">
        <v>117</v>
      </c>
      <c r="B127" s="108" t="s">
        <v>410</v>
      </c>
      <c r="C127" s="106">
        <v>1</v>
      </c>
      <c r="D127" s="107" t="s">
        <v>14</v>
      </c>
      <c r="E127" s="107" t="s">
        <v>561</v>
      </c>
      <c r="F127" s="106">
        <v>7</v>
      </c>
      <c r="G127" s="106">
        <v>7</v>
      </c>
      <c r="H127" s="63" t="s">
        <v>562</v>
      </c>
      <c r="I127" s="33" t="s">
        <v>718</v>
      </c>
      <c r="J127" s="64" t="s">
        <v>718</v>
      </c>
      <c r="K127" s="109" t="s">
        <v>853</v>
      </c>
      <c r="L127" s="36" t="s">
        <v>718</v>
      </c>
      <c r="M127" s="29" t="s">
        <v>399</v>
      </c>
      <c r="N127" s="29" t="s">
        <v>399</v>
      </c>
      <c r="O127" s="29" t="s">
        <v>399</v>
      </c>
      <c r="P127" s="110" t="s">
        <v>399</v>
      </c>
      <c r="Q127" s="35"/>
    </row>
    <row r="128" spans="1:17" x14ac:dyDescent="0.25">
      <c r="A128" s="108">
        <v>118</v>
      </c>
      <c r="B128" s="108" t="s">
        <v>410</v>
      </c>
      <c r="C128" s="106">
        <v>1</v>
      </c>
      <c r="D128" s="107" t="s">
        <v>14</v>
      </c>
      <c r="E128" s="107" t="s">
        <v>563</v>
      </c>
      <c r="F128" s="106">
        <v>1</v>
      </c>
      <c r="G128" s="106">
        <v>1</v>
      </c>
      <c r="H128" s="63" t="s">
        <v>136</v>
      </c>
      <c r="I128" s="33" t="s">
        <v>718</v>
      </c>
      <c r="J128" s="64" t="s">
        <v>718</v>
      </c>
      <c r="K128" s="109" t="s">
        <v>862</v>
      </c>
      <c r="L128" s="36" t="s">
        <v>718</v>
      </c>
      <c r="M128" s="29" t="s">
        <v>399</v>
      </c>
      <c r="N128" s="29" t="s">
        <v>399</v>
      </c>
      <c r="O128" s="29" t="s">
        <v>399</v>
      </c>
      <c r="P128" s="110" t="s">
        <v>399</v>
      </c>
      <c r="Q128" s="35"/>
    </row>
    <row r="129" spans="1:17" ht="60" x14ac:dyDescent="0.25">
      <c r="A129" s="108">
        <v>119</v>
      </c>
      <c r="B129" s="108" t="s">
        <v>410</v>
      </c>
      <c r="C129" s="106">
        <v>1</v>
      </c>
      <c r="D129" s="107" t="s">
        <v>14</v>
      </c>
      <c r="E129" s="107" t="s">
        <v>564</v>
      </c>
      <c r="F129" s="106">
        <v>3</v>
      </c>
      <c r="G129" s="106">
        <v>3</v>
      </c>
      <c r="H129" s="63" t="s">
        <v>723</v>
      </c>
      <c r="I129" s="33" t="s">
        <v>718</v>
      </c>
      <c r="J129" s="64" t="s">
        <v>718</v>
      </c>
      <c r="K129" s="109" t="s">
        <v>844</v>
      </c>
      <c r="L129" s="36" t="s">
        <v>718</v>
      </c>
      <c r="M129" s="29" t="s">
        <v>399</v>
      </c>
      <c r="N129" s="29" t="s">
        <v>399</v>
      </c>
      <c r="O129" s="29" t="s">
        <v>399</v>
      </c>
      <c r="P129" s="110" t="s">
        <v>399</v>
      </c>
      <c r="Q129" s="35"/>
    </row>
    <row r="130" spans="1:17" x14ac:dyDescent="0.25">
      <c r="A130" s="108">
        <v>120</v>
      </c>
      <c r="B130" s="108" t="s">
        <v>410</v>
      </c>
      <c r="C130" s="106">
        <v>1</v>
      </c>
      <c r="D130" s="107" t="s">
        <v>566</v>
      </c>
      <c r="E130" s="107" t="s">
        <v>567</v>
      </c>
      <c r="F130" s="106">
        <v>1</v>
      </c>
      <c r="G130" s="106">
        <v>1</v>
      </c>
      <c r="H130" s="63" t="s">
        <v>362</v>
      </c>
      <c r="I130" s="33" t="s">
        <v>718</v>
      </c>
      <c r="J130" s="64" t="s">
        <v>718</v>
      </c>
      <c r="K130" s="109" t="s">
        <v>910</v>
      </c>
      <c r="L130" s="36" t="s">
        <v>718</v>
      </c>
      <c r="M130" s="29" t="s">
        <v>399</v>
      </c>
      <c r="N130" s="29" t="s">
        <v>399</v>
      </c>
      <c r="O130" s="29" t="s">
        <v>399</v>
      </c>
      <c r="P130" s="110" t="s">
        <v>399</v>
      </c>
      <c r="Q130" s="35"/>
    </row>
    <row r="131" spans="1:17" x14ac:dyDescent="0.25">
      <c r="A131" s="108">
        <v>121</v>
      </c>
      <c r="B131" s="108" t="s">
        <v>410</v>
      </c>
      <c r="C131" s="106">
        <v>1</v>
      </c>
      <c r="D131" s="107" t="s">
        <v>566</v>
      </c>
      <c r="E131" s="107" t="s">
        <v>568</v>
      </c>
      <c r="F131" s="106">
        <v>1</v>
      </c>
      <c r="G131" s="106">
        <v>1</v>
      </c>
      <c r="H131" s="63" t="s">
        <v>362</v>
      </c>
      <c r="I131" s="33" t="s">
        <v>718</v>
      </c>
      <c r="J131" s="64" t="s">
        <v>718</v>
      </c>
      <c r="K131" s="109" t="s">
        <v>909</v>
      </c>
      <c r="L131" s="36" t="s">
        <v>718</v>
      </c>
      <c r="M131" s="29" t="s">
        <v>399</v>
      </c>
      <c r="N131" s="29" t="s">
        <v>399</v>
      </c>
      <c r="O131" s="29" t="s">
        <v>399</v>
      </c>
      <c r="P131" s="110" t="s">
        <v>399</v>
      </c>
      <c r="Q131" s="35"/>
    </row>
    <row r="132" spans="1:17" x14ac:dyDescent="0.25">
      <c r="A132" s="108">
        <v>122</v>
      </c>
      <c r="B132" s="108" t="s">
        <v>410</v>
      </c>
      <c r="C132" s="106">
        <v>1</v>
      </c>
      <c r="D132" s="107" t="s">
        <v>566</v>
      </c>
      <c r="E132" s="107" t="s">
        <v>569</v>
      </c>
      <c r="F132" s="106">
        <v>1</v>
      </c>
      <c r="G132" s="106">
        <v>1</v>
      </c>
      <c r="H132" s="63" t="s">
        <v>911</v>
      </c>
      <c r="I132" s="33" t="s">
        <v>718</v>
      </c>
      <c r="J132" s="64" t="s">
        <v>718</v>
      </c>
      <c r="K132" s="109" t="s">
        <v>912</v>
      </c>
      <c r="L132" s="36" t="s">
        <v>718</v>
      </c>
      <c r="M132" s="29" t="s">
        <v>399</v>
      </c>
      <c r="N132" s="29" t="s">
        <v>399</v>
      </c>
      <c r="O132" s="29" t="s">
        <v>399</v>
      </c>
      <c r="P132" s="110" t="s">
        <v>399</v>
      </c>
      <c r="Q132" s="35"/>
    </row>
    <row r="133" spans="1:17" x14ac:dyDescent="0.25">
      <c r="A133" s="108">
        <v>123</v>
      </c>
      <c r="B133" s="108" t="s">
        <v>410</v>
      </c>
      <c r="C133" s="106">
        <v>1</v>
      </c>
      <c r="D133" s="107" t="s">
        <v>566</v>
      </c>
      <c r="E133" s="107" t="s">
        <v>570</v>
      </c>
      <c r="F133" s="106">
        <v>1</v>
      </c>
      <c r="G133" s="106">
        <v>1</v>
      </c>
      <c r="H133" s="63" t="s">
        <v>911</v>
      </c>
      <c r="I133" s="33" t="s">
        <v>718</v>
      </c>
      <c r="J133" s="64" t="s">
        <v>718</v>
      </c>
      <c r="K133" s="109" t="s">
        <v>913</v>
      </c>
      <c r="L133" s="36" t="s">
        <v>718</v>
      </c>
      <c r="M133" s="29" t="s">
        <v>399</v>
      </c>
      <c r="N133" s="29" t="s">
        <v>399</v>
      </c>
      <c r="O133" s="29" t="s">
        <v>399</v>
      </c>
      <c r="P133" s="110" t="s">
        <v>399</v>
      </c>
      <c r="Q133" s="35"/>
    </row>
    <row r="134" spans="1:17" x14ac:dyDescent="0.25">
      <c r="A134" s="108">
        <v>124</v>
      </c>
      <c r="B134" s="108" t="s">
        <v>410</v>
      </c>
      <c r="C134" s="106">
        <v>1</v>
      </c>
      <c r="D134" s="107" t="s">
        <v>566</v>
      </c>
      <c r="E134" s="107" t="s">
        <v>571</v>
      </c>
      <c r="F134" s="106">
        <v>1</v>
      </c>
      <c r="G134" s="106">
        <v>1</v>
      </c>
      <c r="H134" s="63" t="s">
        <v>361</v>
      </c>
      <c r="I134" s="33" t="s">
        <v>718</v>
      </c>
      <c r="J134" s="64" t="s">
        <v>718</v>
      </c>
      <c r="K134" s="109" t="s">
        <v>914</v>
      </c>
      <c r="L134" s="36" t="s">
        <v>718</v>
      </c>
      <c r="M134" s="29" t="s">
        <v>399</v>
      </c>
      <c r="N134" s="29" t="s">
        <v>399</v>
      </c>
      <c r="O134" s="29" t="s">
        <v>399</v>
      </c>
      <c r="P134" s="110" t="s">
        <v>399</v>
      </c>
      <c r="Q134" s="35"/>
    </row>
    <row r="135" spans="1:17" x14ac:dyDescent="0.25">
      <c r="A135" s="108">
        <v>125</v>
      </c>
      <c r="B135" s="108" t="s">
        <v>410</v>
      </c>
      <c r="C135" s="106">
        <v>1</v>
      </c>
      <c r="D135" s="107" t="s">
        <v>566</v>
      </c>
      <c r="E135" s="107" t="s">
        <v>572</v>
      </c>
      <c r="F135" s="106">
        <v>1</v>
      </c>
      <c r="G135" s="106">
        <v>1</v>
      </c>
      <c r="H135" s="63" t="s">
        <v>361</v>
      </c>
      <c r="I135" s="33" t="s">
        <v>718</v>
      </c>
      <c r="J135" s="64" t="s">
        <v>718</v>
      </c>
      <c r="K135" s="109" t="s">
        <v>915</v>
      </c>
      <c r="L135" s="36" t="s">
        <v>718</v>
      </c>
      <c r="M135" s="29" t="s">
        <v>399</v>
      </c>
      <c r="N135" s="29" t="s">
        <v>399</v>
      </c>
      <c r="O135" s="29" t="s">
        <v>399</v>
      </c>
      <c r="P135" s="110" t="s">
        <v>399</v>
      </c>
      <c r="Q135" s="35"/>
    </row>
    <row r="136" spans="1:17" ht="27" x14ac:dyDescent="0.25">
      <c r="A136" s="108">
        <v>126</v>
      </c>
      <c r="B136" s="108" t="s">
        <v>410</v>
      </c>
      <c r="C136" s="106">
        <v>1</v>
      </c>
      <c r="D136" s="107" t="s">
        <v>566</v>
      </c>
      <c r="E136" s="107" t="s">
        <v>573</v>
      </c>
      <c r="F136" s="106">
        <v>5</v>
      </c>
      <c r="G136" s="106">
        <v>5</v>
      </c>
      <c r="H136" s="63" t="s">
        <v>574</v>
      </c>
      <c r="I136" s="33" t="s">
        <v>718</v>
      </c>
      <c r="J136" s="64" t="s">
        <v>718</v>
      </c>
      <c r="K136" s="109" t="s">
        <v>899</v>
      </c>
      <c r="L136" s="36" t="s">
        <v>718</v>
      </c>
      <c r="M136" s="29" t="s">
        <v>399</v>
      </c>
      <c r="N136" s="29" t="s">
        <v>399</v>
      </c>
      <c r="O136" s="29" t="s">
        <v>399</v>
      </c>
      <c r="P136" s="110" t="s">
        <v>399</v>
      </c>
      <c r="Q136" s="35"/>
    </row>
    <row r="137" spans="1:17" ht="27" x14ac:dyDescent="0.25">
      <c r="A137" s="108">
        <v>127</v>
      </c>
      <c r="B137" s="108" t="s">
        <v>410</v>
      </c>
      <c r="C137" s="106">
        <v>1</v>
      </c>
      <c r="D137" s="107" t="s">
        <v>566</v>
      </c>
      <c r="E137" s="107" t="s">
        <v>575</v>
      </c>
      <c r="F137" s="106">
        <v>5</v>
      </c>
      <c r="G137" s="106">
        <v>5</v>
      </c>
      <c r="H137" s="63" t="s">
        <v>576</v>
      </c>
      <c r="I137" s="33" t="s">
        <v>718</v>
      </c>
      <c r="J137" s="64" t="s">
        <v>718</v>
      </c>
      <c r="K137" s="109" t="s">
        <v>900</v>
      </c>
      <c r="L137" s="36" t="s">
        <v>718</v>
      </c>
      <c r="M137" s="29" t="s">
        <v>399</v>
      </c>
      <c r="N137" s="29" t="s">
        <v>399</v>
      </c>
      <c r="O137" s="29" t="s">
        <v>399</v>
      </c>
      <c r="P137" s="110" t="s">
        <v>399</v>
      </c>
      <c r="Q137" s="35"/>
    </row>
    <row r="138" spans="1:17" ht="27" x14ac:dyDescent="0.25">
      <c r="A138" s="108">
        <v>128</v>
      </c>
      <c r="B138" s="108" t="s">
        <v>410</v>
      </c>
      <c r="C138" s="106">
        <v>1</v>
      </c>
      <c r="D138" s="107" t="s">
        <v>566</v>
      </c>
      <c r="E138" s="107" t="s">
        <v>577</v>
      </c>
      <c r="F138" s="106">
        <v>6</v>
      </c>
      <c r="G138" s="106">
        <v>0</v>
      </c>
      <c r="H138" s="63" t="s">
        <v>578</v>
      </c>
      <c r="I138" s="33" t="s">
        <v>718</v>
      </c>
      <c r="J138" s="64" t="s">
        <v>718</v>
      </c>
      <c r="K138" s="109" t="s">
        <v>901</v>
      </c>
      <c r="L138" s="36" t="s">
        <v>718</v>
      </c>
      <c r="M138" s="29" t="s">
        <v>399</v>
      </c>
      <c r="N138" s="29" t="s">
        <v>399</v>
      </c>
      <c r="O138" s="29" t="s">
        <v>399</v>
      </c>
      <c r="P138" s="110" t="s">
        <v>399</v>
      </c>
      <c r="Q138" s="35"/>
    </row>
    <row r="139" spans="1:17" x14ac:dyDescent="0.25">
      <c r="A139" s="108">
        <v>129</v>
      </c>
      <c r="B139" s="108" t="s">
        <v>410</v>
      </c>
      <c r="C139" s="106">
        <v>1</v>
      </c>
      <c r="D139" s="107" t="s">
        <v>566</v>
      </c>
      <c r="E139" s="107" t="s">
        <v>579</v>
      </c>
      <c r="F139" s="106">
        <v>1</v>
      </c>
      <c r="G139" s="106">
        <v>1</v>
      </c>
      <c r="H139" s="63" t="s">
        <v>360</v>
      </c>
      <c r="I139" s="33" t="s">
        <v>718</v>
      </c>
      <c r="J139" s="64" t="s">
        <v>718</v>
      </c>
      <c r="K139" s="109" t="s">
        <v>903</v>
      </c>
      <c r="L139" s="36" t="s">
        <v>718</v>
      </c>
      <c r="M139" s="29" t="s">
        <v>399</v>
      </c>
      <c r="N139" s="29" t="s">
        <v>399</v>
      </c>
      <c r="O139" s="29" t="s">
        <v>399</v>
      </c>
      <c r="P139" s="110" t="s">
        <v>399</v>
      </c>
      <c r="Q139" s="35"/>
    </row>
    <row r="140" spans="1:17" x14ac:dyDescent="0.25">
      <c r="A140" s="108">
        <v>130</v>
      </c>
      <c r="B140" s="108" t="s">
        <v>410</v>
      </c>
      <c r="C140" s="106">
        <v>1</v>
      </c>
      <c r="D140" s="107" t="s">
        <v>566</v>
      </c>
      <c r="E140" s="107" t="s">
        <v>580</v>
      </c>
      <c r="F140" s="106">
        <v>2</v>
      </c>
      <c r="G140" s="106">
        <v>2</v>
      </c>
      <c r="H140" s="63" t="s">
        <v>360</v>
      </c>
      <c r="I140" s="33" t="s">
        <v>718</v>
      </c>
      <c r="J140" s="64" t="s">
        <v>718</v>
      </c>
      <c r="K140" s="109" t="s">
        <v>904</v>
      </c>
      <c r="L140" s="36" t="s">
        <v>718</v>
      </c>
      <c r="M140" s="29" t="s">
        <v>399</v>
      </c>
      <c r="N140" s="29" t="s">
        <v>399</v>
      </c>
      <c r="O140" s="29" t="s">
        <v>399</v>
      </c>
      <c r="P140" s="110" t="s">
        <v>399</v>
      </c>
      <c r="Q140" s="35"/>
    </row>
    <row r="141" spans="1:17" x14ac:dyDescent="0.25">
      <c r="A141" s="108">
        <v>131</v>
      </c>
      <c r="B141" s="108" t="s">
        <v>410</v>
      </c>
      <c r="C141" s="106">
        <v>1</v>
      </c>
      <c r="D141" s="107" t="s">
        <v>566</v>
      </c>
      <c r="E141" s="107" t="s">
        <v>581</v>
      </c>
      <c r="F141" s="106">
        <v>1</v>
      </c>
      <c r="G141" s="106">
        <v>1</v>
      </c>
      <c r="H141" s="63" t="s">
        <v>360</v>
      </c>
      <c r="I141" s="33" t="s">
        <v>718</v>
      </c>
      <c r="J141" s="64" t="s">
        <v>718</v>
      </c>
      <c r="K141" s="109" t="s">
        <v>902</v>
      </c>
      <c r="L141" s="36" t="s">
        <v>718</v>
      </c>
      <c r="M141" s="29" t="s">
        <v>399</v>
      </c>
      <c r="N141" s="29" t="s">
        <v>399</v>
      </c>
      <c r="O141" s="29" t="s">
        <v>399</v>
      </c>
      <c r="P141" s="110" t="s">
        <v>399</v>
      </c>
      <c r="Q141" s="35"/>
    </row>
    <row r="142" spans="1:17" x14ac:dyDescent="0.25">
      <c r="A142" s="108">
        <v>132</v>
      </c>
      <c r="B142" s="108" t="s">
        <v>410</v>
      </c>
      <c r="C142" s="106">
        <v>1</v>
      </c>
      <c r="D142" s="107" t="s">
        <v>566</v>
      </c>
      <c r="E142" s="107" t="s">
        <v>582</v>
      </c>
      <c r="F142" s="106">
        <v>2</v>
      </c>
      <c r="G142" s="106">
        <v>2</v>
      </c>
      <c r="H142" s="63" t="s">
        <v>360</v>
      </c>
      <c r="I142" s="33" t="s">
        <v>718</v>
      </c>
      <c r="J142" s="64" t="s">
        <v>718</v>
      </c>
      <c r="K142" s="109" t="s">
        <v>906</v>
      </c>
      <c r="L142" s="36" t="s">
        <v>718</v>
      </c>
      <c r="M142" s="29" t="s">
        <v>399</v>
      </c>
      <c r="N142" s="29" t="s">
        <v>399</v>
      </c>
      <c r="O142" s="29" t="s">
        <v>399</v>
      </c>
      <c r="P142" s="110" t="s">
        <v>399</v>
      </c>
      <c r="Q142" s="35"/>
    </row>
    <row r="143" spans="1:17" x14ac:dyDescent="0.25">
      <c r="A143" s="108">
        <v>133</v>
      </c>
      <c r="B143" s="108" t="s">
        <v>410</v>
      </c>
      <c r="C143" s="106">
        <v>1</v>
      </c>
      <c r="D143" s="107" t="s">
        <v>566</v>
      </c>
      <c r="E143" s="107" t="s">
        <v>583</v>
      </c>
      <c r="F143" s="106">
        <v>2</v>
      </c>
      <c r="G143" s="106">
        <v>2</v>
      </c>
      <c r="H143" s="63" t="s">
        <v>360</v>
      </c>
      <c r="I143" s="33" t="s">
        <v>718</v>
      </c>
      <c r="J143" s="64" t="s">
        <v>718</v>
      </c>
      <c r="K143" s="109" t="s">
        <v>907</v>
      </c>
      <c r="L143" s="36" t="s">
        <v>718</v>
      </c>
      <c r="M143" s="29" t="s">
        <v>399</v>
      </c>
      <c r="N143" s="29" t="s">
        <v>399</v>
      </c>
      <c r="O143" s="29" t="s">
        <v>399</v>
      </c>
      <c r="P143" s="110" t="s">
        <v>399</v>
      </c>
      <c r="Q143" s="35"/>
    </row>
    <row r="144" spans="1:17" x14ac:dyDescent="0.25">
      <c r="A144" s="108">
        <v>134</v>
      </c>
      <c r="B144" s="108" t="s">
        <v>410</v>
      </c>
      <c r="C144" s="106">
        <v>1</v>
      </c>
      <c r="D144" s="107" t="s">
        <v>566</v>
      </c>
      <c r="E144" s="107" t="s">
        <v>584</v>
      </c>
      <c r="F144" s="106">
        <v>2</v>
      </c>
      <c r="G144" s="106">
        <v>2</v>
      </c>
      <c r="H144" s="63" t="s">
        <v>360</v>
      </c>
      <c r="I144" s="33" t="s">
        <v>718</v>
      </c>
      <c r="J144" s="64" t="s">
        <v>718</v>
      </c>
      <c r="K144" s="109" t="s">
        <v>905</v>
      </c>
      <c r="L144" s="36" t="s">
        <v>718</v>
      </c>
      <c r="M144" s="29" t="s">
        <v>399</v>
      </c>
      <c r="N144" s="29" t="s">
        <v>399</v>
      </c>
      <c r="O144" s="29" t="s">
        <v>399</v>
      </c>
      <c r="P144" s="110" t="s">
        <v>399</v>
      </c>
      <c r="Q144" s="35"/>
    </row>
    <row r="145" spans="1:17" x14ac:dyDescent="0.25">
      <c r="A145" s="108">
        <v>135</v>
      </c>
      <c r="B145" s="108" t="s">
        <v>410</v>
      </c>
      <c r="C145" s="106">
        <v>1</v>
      </c>
      <c r="D145" s="107" t="s">
        <v>566</v>
      </c>
      <c r="E145" s="107" t="s">
        <v>585</v>
      </c>
      <c r="F145" s="106">
        <v>1</v>
      </c>
      <c r="G145" s="106">
        <v>1</v>
      </c>
      <c r="H145" s="63" t="s">
        <v>360</v>
      </c>
      <c r="I145" s="33" t="s">
        <v>718</v>
      </c>
      <c r="J145" s="64" t="s">
        <v>718</v>
      </c>
      <c r="K145" s="109" t="s">
        <v>908</v>
      </c>
      <c r="L145" s="36" t="s">
        <v>718</v>
      </c>
      <c r="M145" s="29" t="s">
        <v>399</v>
      </c>
      <c r="N145" s="29" t="s">
        <v>399</v>
      </c>
      <c r="O145" s="29" t="s">
        <v>399</v>
      </c>
      <c r="P145" s="110" t="s">
        <v>399</v>
      </c>
      <c r="Q145" s="35"/>
    </row>
    <row r="146" spans="1:17" x14ac:dyDescent="0.25">
      <c r="A146" s="108">
        <v>136</v>
      </c>
      <c r="B146" s="108" t="s">
        <v>410</v>
      </c>
      <c r="C146" s="106">
        <v>1</v>
      </c>
      <c r="D146" s="107" t="s">
        <v>586</v>
      </c>
      <c r="E146" s="107" t="s">
        <v>587</v>
      </c>
      <c r="F146" s="106">
        <v>15</v>
      </c>
      <c r="G146" s="106">
        <v>15</v>
      </c>
      <c r="H146" s="63" t="s">
        <v>125</v>
      </c>
      <c r="I146" s="33" t="s">
        <v>718</v>
      </c>
      <c r="J146" s="64" t="s">
        <v>718</v>
      </c>
      <c r="K146" s="109"/>
      <c r="L146" s="36" t="s">
        <v>718</v>
      </c>
      <c r="M146" s="29" t="s">
        <v>399</v>
      </c>
      <c r="N146" s="29" t="s">
        <v>399</v>
      </c>
      <c r="O146" s="29" t="s">
        <v>399</v>
      </c>
      <c r="P146" s="110" t="s">
        <v>399</v>
      </c>
      <c r="Q146" s="35"/>
    </row>
    <row r="147" spans="1:17" x14ac:dyDescent="0.25">
      <c r="A147" s="108">
        <v>137</v>
      </c>
      <c r="B147" s="108" t="s">
        <v>410</v>
      </c>
      <c r="C147" s="106">
        <v>1</v>
      </c>
      <c r="D147" s="107" t="s">
        <v>586</v>
      </c>
      <c r="E147" s="107" t="s">
        <v>589</v>
      </c>
      <c r="F147" s="106">
        <v>350</v>
      </c>
      <c r="G147" s="106">
        <v>350</v>
      </c>
      <c r="H147" s="63" t="s">
        <v>125</v>
      </c>
      <c r="I147" s="33" t="s">
        <v>718</v>
      </c>
      <c r="J147" s="64" t="s">
        <v>718</v>
      </c>
      <c r="K147" s="109"/>
      <c r="L147" s="36" t="s">
        <v>718</v>
      </c>
      <c r="M147" s="29" t="s">
        <v>399</v>
      </c>
      <c r="N147" s="29" t="s">
        <v>399</v>
      </c>
      <c r="O147" s="29" t="s">
        <v>399</v>
      </c>
      <c r="P147" s="110" t="s">
        <v>399</v>
      </c>
      <c r="Q147" s="35"/>
    </row>
    <row r="148" spans="1:17" x14ac:dyDescent="0.25">
      <c r="A148" s="108">
        <v>138</v>
      </c>
      <c r="B148" s="108" t="s">
        <v>410</v>
      </c>
      <c r="C148" s="106">
        <v>1</v>
      </c>
      <c r="D148" s="107" t="s">
        <v>586</v>
      </c>
      <c r="E148" s="107" t="s">
        <v>591</v>
      </c>
      <c r="F148" s="106">
        <v>40</v>
      </c>
      <c r="G148" s="106">
        <v>40</v>
      </c>
      <c r="H148" s="63" t="s">
        <v>125</v>
      </c>
      <c r="I148" s="33" t="s">
        <v>718</v>
      </c>
      <c r="J148" s="64" t="s">
        <v>718</v>
      </c>
      <c r="K148" s="109"/>
      <c r="L148" s="36" t="s">
        <v>718</v>
      </c>
      <c r="M148" s="29" t="s">
        <v>399</v>
      </c>
      <c r="N148" s="29" t="s">
        <v>399</v>
      </c>
      <c r="O148" s="29" t="s">
        <v>399</v>
      </c>
      <c r="P148" s="110" t="s">
        <v>399</v>
      </c>
      <c r="Q148" s="35"/>
    </row>
    <row r="149" spans="1:17" x14ac:dyDescent="0.25">
      <c r="A149" s="108">
        <v>139</v>
      </c>
      <c r="B149" s="108" t="s">
        <v>593</v>
      </c>
      <c r="C149" s="106">
        <v>1</v>
      </c>
      <c r="D149" s="107" t="s">
        <v>89</v>
      </c>
      <c r="E149" s="107" t="s">
        <v>90</v>
      </c>
      <c r="F149" s="106">
        <v>1</v>
      </c>
      <c r="G149" s="106">
        <v>1</v>
      </c>
      <c r="H149" s="63"/>
      <c r="I149" s="33" t="s">
        <v>594</v>
      </c>
      <c r="J149" s="64" t="s">
        <v>718</v>
      </c>
      <c r="K149" s="109" t="s">
        <v>595</v>
      </c>
      <c r="L149" s="36" t="s">
        <v>718</v>
      </c>
      <c r="M149" s="29" t="s">
        <v>399</v>
      </c>
      <c r="N149" s="29" t="s">
        <v>399</v>
      </c>
      <c r="O149" s="29" t="s">
        <v>399</v>
      </c>
      <c r="P149" s="110" t="s">
        <v>399</v>
      </c>
      <c r="Q149" s="35"/>
    </row>
    <row r="150" spans="1:17" ht="27" x14ac:dyDescent="0.25">
      <c r="A150" s="108">
        <v>140</v>
      </c>
      <c r="B150" s="108" t="s">
        <v>593</v>
      </c>
      <c r="C150" s="106">
        <v>1</v>
      </c>
      <c r="D150" s="107" t="s">
        <v>39</v>
      </c>
      <c r="E150" s="107" t="s">
        <v>40</v>
      </c>
      <c r="F150" s="106">
        <v>2</v>
      </c>
      <c r="G150" s="106">
        <v>2</v>
      </c>
      <c r="H150" s="63" t="s">
        <v>1100</v>
      </c>
      <c r="I150" s="33" t="s">
        <v>1095</v>
      </c>
      <c r="J150" s="64" t="s">
        <v>718</v>
      </c>
      <c r="K150" s="109" t="s">
        <v>596</v>
      </c>
      <c r="L150" s="36" t="s">
        <v>718</v>
      </c>
      <c r="M150" s="29" t="s">
        <v>726</v>
      </c>
      <c r="N150" s="29" t="s">
        <v>399</v>
      </c>
      <c r="O150" s="29" t="s">
        <v>399</v>
      </c>
      <c r="P150" s="110" t="s">
        <v>399</v>
      </c>
      <c r="Q150" s="35"/>
    </row>
    <row r="151" spans="1:17" x14ac:dyDescent="0.25">
      <c r="A151" s="108">
        <v>141</v>
      </c>
      <c r="B151" s="108" t="s">
        <v>593</v>
      </c>
      <c r="C151" s="106">
        <v>1</v>
      </c>
      <c r="D151" s="107" t="s">
        <v>93</v>
      </c>
      <c r="E151" s="107" t="s">
        <v>100</v>
      </c>
      <c r="F151" s="106">
        <v>2</v>
      </c>
      <c r="G151" s="106">
        <v>2</v>
      </c>
      <c r="H151" s="63" t="s">
        <v>1105</v>
      </c>
      <c r="I151" s="33" t="s">
        <v>597</v>
      </c>
      <c r="J151" s="64" t="s">
        <v>718</v>
      </c>
      <c r="K151" s="109" t="s">
        <v>598</v>
      </c>
      <c r="L151" s="36" t="s">
        <v>718</v>
      </c>
      <c r="M151" s="29" t="s">
        <v>399</v>
      </c>
      <c r="N151" s="29" t="s">
        <v>399</v>
      </c>
      <c r="O151" s="29" t="s">
        <v>399</v>
      </c>
      <c r="P151" s="110" t="s">
        <v>399</v>
      </c>
      <c r="Q151" s="35"/>
    </row>
    <row r="152" spans="1:17" x14ac:dyDescent="0.25">
      <c r="A152" s="108">
        <v>142</v>
      </c>
      <c r="B152" s="108" t="s">
        <v>593</v>
      </c>
      <c r="C152" s="106">
        <v>1</v>
      </c>
      <c r="D152" s="107" t="s">
        <v>93</v>
      </c>
      <c r="E152" s="107" t="s">
        <v>94</v>
      </c>
      <c r="F152" s="106">
        <v>1</v>
      </c>
      <c r="G152" s="106">
        <v>1</v>
      </c>
      <c r="H152" s="63" t="s">
        <v>1106</v>
      </c>
      <c r="I152" s="33" t="s">
        <v>599</v>
      </c>
      <c r="J152" s="64" t="s">
        <v>718</v>
      </c>
      <c r="K152" s="109" t="s">
        <v>600</v>
      </c>
      <c r="L152" s="36" t="s">
        <v>718</v>
      </c>
      <c r="M152" s="29" t="s">
        <v>399</v>
      </c>
      <c r="N152" s="29" t="s">
        <v>399</v>
      </c>
      <c r="O152" s="29" t="s">
        <v>399</v>
      </c>
      <c r="P152" s="110" t="s">
        <v>399</v>
      </c>
      <c r="Q152" s="35"/>
    </row>
    <row r="153" spans="1:17" ht="27" x14ac:dyDescent="0.25">
      <c r="A153" s="108">
        <v>143</v>
      </c>
      <c r="B153" s="108" t="s">
        <v>593</v>
      </c>
      <c r="C153" s="106">
        <v>1</v>
      </c>
      <c r="D153" s="107" t="s">
        <v>91</v>
      </c>
      <c r="E153" s="107" t="s">
        <v>92</v>
      </c>
      <c r="F153" s="106">
        <v>1</v>
      </c>
      <c r="G153" s="106">
        <v>1</v>
      </c>
      <c r="H153" s="63" t="s">
        <v>1104</v>
      </c>
      <c r="I153" s="33" t="s">
        <v>601</v>
      </c>
      <c r="J153" s="64" t="s">
        <v>718</v>
      </c>
      <c r="K153" s="109" t="s">
        <v>602</v>
      </c>
      <c r="L153" s="36" t="s">
        <v>718</v>
      </c>
      <c r="M153" s="29" t="s">
        <v>399</v>
      </c>
      <c r="N153" s="29" t="s">
        <v>399</v>
      </c>
      <c r="O153" s="29" t="s">
        <v>399</v>
      </c>
      <c r="P153" s="110" t="s">
        <v>399</v>
      </c>
      <c r="Q153" s="35"/>
    </row>
    <row r="154" spans="1:17" x14ac:dyDescent="0.25">
      <c r="A154" s="108">
        <v>144</v>
      </c>
      <c r="B154" s="108" t="s">
        <v>593</v>
      </c>
      <c r="C154" s="106">
        <v>1</v>
      </c>
      <c r="D154" s="107" t="s">
        <v>29</v>
      </c>
      <c r="E154" s="107" t="s">
        <v>103</v>
      </c>
      <c r="F154" s="106">
        <v>2</v>
      </c>
      <c r="G154" s="106">
        <v>2</v>
      </c>
      <c r="H154" s="63" t="s">
        <v>1105</v>
      </c>
      <c r="I154" s="33" t="s">
        <v>597</v>
      </c>
      <c r="J154" s="64" t="s">
        <v>718</v>
      </c>
      <c r="K154" s="109" t="s">
        <v>603</v>
      </c>
      <c r="L154" s="36" t="s">
        <v>718</v>
      </c>
      <c r="M154" s="29" t="s">
        <v>399</v>
      </c>
      <c r="N154" s="29" t="s">
        <v>399</v>
      </c>
      <c r="O154" s="29" t="s">
        <v>399</v>
      </c>
      <c r="P154" s="110" t="s">
        <v>399</v>
      </c>
      <c r="Q154" s="35"/>
    </row>
    <row r="155" spans="1:17" x14ac:dyDescent="0.25">
      <c r="A155" s="108">
        <v>145</v>
      </c>
      <c r="B155" s="108" t="s">
        <v>593</v>
      </c>
      <c r="C155" s="106">
        <v>1</v>
      </c>
      <c r="D155" s="107" t="s">
        <v>29</v>
      </c>
      <c r="E155" s="107" t="s">
        <v>95</v>
      </c>
      <c r="F155" s="106">
        <v>1</v>
      </c>
      <c r="G155" s="106">
        <v>1</v>
      </c>
      <c r="H155" s="63" t="s">
        <v>1106</v>
      </c>
      <c r="I155" s="33" t="s">
        <v>599</v>
      </c>
      <c r="J155" s="64" t="s">
        <v>718</v>
      </c>
      <c r="K155" s="109" t="s">
        <v>604</v>
      </c>
      <c r="L155" s="36" t="s">
        <v>718</v>
      </c>
      <c r="M155" s="29" t="s">
        <v>399</v>
      </c>
      <c r="N155" s="29" t="s">
        <v>399</v>
      </c>
      <c r="O155" s="29" t="s">
        <v>399</v>
      </c>
      <c r="P155" s="110" t="s">
        <v>399</v>
      </c>
      <c r="Q155" s="35"/>
    </row>
    <row r="156" spans="1:17" x14ac:dyDescent="0.25">
      <c r="A156" s="108">
        <v>146</v>
      </c>
      <c r="B156" s="108" t="s">
        <v>593</v>
      </c>
      <c r="C156" s="106">
        <v>1</v>
      </c>
      <c r="D156" s="107" t="s">
        <v>605</v>
      </c>
      <c r="E156" s="107" t="s">
        <v>606</v>
      </c>
      <c r="F156" s="106">
        <v>2</v>
      </c>
      <c r="G156" s="106">
        <v>2</v>
      </c>
      <c r="H156" s="63" t="s">
        <v>1105</v>
      </c>
      <c r="I156" s="33" t="s">
        <v>597</v>
      </c>
      <c r="J156" s="64" t="s">
        <v>718</v>
      </c>
      <c r="K156" s="109" t="s">
        <v>607</v>
      </c>
      <c r="L156" s="36" t="s">
        <v>718</v>
      </c>
      <c r="M156" s="29" t="s">
        <v>399</v>
      </c>
      <c r="N156" s="29" t="s">
        <v>399</v>
      </c>
      <c r="O156" s="29" t="s">
        <v>399</v>
      </c>
      <c r="P156" s="110" t="s">
        <v>399</v>
      </c>
      <c r="Q156" s="35"/>
    </row>
    <row r="157" spans="1:17" x14ac:dyDescent="0.25">
      <c r="A157" s="108">
        <v>147</v>
      </c>
      <c r="B157" s="108" t="s">
        <v>593</v>
      </c>
      <c r="C157" s="106">
        <v>1</v>
      </c>
      <c r="D157" s="107" t="s">
        <v>605</v>
      </c>
      <c r="E157" s="107" t="s">
        <v>608</v>
      </c>
      <c r="F157" s="106">
        <v>1</v>
      </c>
      <c r="G157" s="106">
        <v>1</v>
      </c>
      <c r="H157" s="63" t="s">
        <v>1106</v>
      </c>
      <c r="I157" s="33" t="s">
        <v>599</v>
      </c>
      <c r="J157" s="64" t="s">
        <v>718</v>
      </c>
      <c r="K157" s="109" t="s">
        <v>609</v>
      </c>
      <c r="L157" s="36" t="s">
        <v>718</v>
      </c>
      <c r="M157" s="29" t="s">
        <v>399</v>
      </c>
      <c r="N157" s="29" t="s">
        <v>399</v>
      </c>
      <c r="O157" s="29" t="s">
        <v>399</v>
      </c>
      <c r="P157" s="110" t="s">
        <v>399</v>
      </c>
      <c r="Q157" s="35"/>
    </row>
    <row r="158" spans="1:17" x14ac:dyDescent="0.25">
      <c r="A158" s="108">
        <v>148</v>
      </c>
      <c r="B158" s="108" t="s">
        <v>593</v>
      </c>
      <c r="C158" s="106">
        <v>1</v>
      </c>
      <c r="D158" s="107" t="s">
        <v>605</v>
      </c>
      <c r="E158" s="107" t="s">
        <v>610</v>
      </c>
      <c r="F158" s="106">
        <v>2</v>
      </c>
      <c r="G158" s="106">
        <v>2</v>
      </c>
      <c r="H158" s="63" t="s">
        <v>1105</v>
      </c>
      <c r="I158" s="33" t="s">
        <v>597</v>
      </c>
      <c r="J158" s="64" t="s">
        <v>718</v>
      </c>
      <c r="K158" s="109" t="s">
        <v>611</v>
      </c>
      <c r="L158" s="36" t="s">
        <v>718</v>
      </c>
      <c r="M158" s="29" t="s">
        <v>399</v>
      </c>
      <c r="N158" s="29" t="s">
        <v>399</v>
      </c>
      <c r="O158" s="29" t="s">
        <v>399</v>
      </c>
      <c r="P158" s="110" t="s">
        <v>399</v>
      </c>
      <c r="Q158" s="35"/>
    </row>
    <row r="159" spans="1:17" x14ac:dyDescent="0.25">
      <c r="A159" s="108">
        <v>149</v>
      </c>
      <c r="B159" s="108" t="s">
        <v>593</v>
      </c>
      <c r="C159" s="106">
        <v>1</v>
      </c>
      <c r="D159" s="107" t="s">
        <v>605</v>
      </c>
      <c r="E159" s="107" t="s">
        <v>612</v>
      </c>
      <c r="F159" s="106">
        <v>2</v>
      </c>
      <c r="G159" s="106">
        <v>2</v>
      </c>
      <c r="H159" s="63" t="s">
        <v>1105</v>
      </c>
      <c r="I159" s="33" t="s">
        <v>597</v>
      </c>
      <c r="J159" s="64" t="s">
        <v>718</v>
      </c>
      <c r="K159" s="109" t="s">
        <v>613</v>
      </c>
      <c r="L159" s="36" t="s">
        <v>718</v>
      </c>
      <c r="M159" s="29" t="s">
        <v>399</v>
      </c>
      <c r="N159" s="29" t="s">
        <v>399</v>
      </c>
      <c r="O159" s="29" t="s">
        <v>399</v>
      </c>
      <c r="P159" s="110" t="s">
        <v>399</v>
      </c>
      <c r="Q159" s="35"/>
    </row>
    <row r="160" spans="1:17" x14ac:dyDescent="0.25">
      <c r="A160" s="108">
        <v>150</v>
      </c>
      <c r="B160" s="108" t="s">
        <v>593</v>
      </c>
      <c r="C160" s="106">
        <v>1</v>
      </c>
      <c r="D160" s="107" t="s">
        <v>605</v>
      </c>
      <c r="E160" s="107" t="s">
        <v>614</v>
      </c>
      <c r="F160" s="106">
        <v>2</v>
      </c>
      <c r="G160" s="106">
        <v>2</v>
      </c>
      <c r="H160" s="63" t="s">
        <v>1105</v>
      </c>
      <c r="I160" s="33" t="s">
        <v>597</v>
      </c>
      <c r="J160" s="64" t="s">
        <v>718</v>
      </c>
      <c r="K160" s="109" t="s">
        <v>615</v>
      </c>
      <c r="L160" s="36" t="s">
        <v>718</v>
      </c>
      <c r="M160" s="29" t="s">
        <v>399</v>
      </c>
      <c r="N160" s="29" t="s">
        <v>399</v>
      </c>
      <c r="O160" s="29" t="s">
        <v>399</v>
      </c>
      <c r="P160" s="110" t="s">
        <v>399</v>
      </c>
      <c r="Q160" s="35"/>
    </row>
    <row r="161" spans="1:17" x14ac:dyDescent="0.25">
      <c r="A161" s="108">
        <v>151</v>
      </c>
      <c r="B161" s="108" t="s">
        <v>593</v>
      </c>
      <c r="C161" s="106">
        <v>1</v>
      </c>
      <c r="D161" s="107" t="s">
        <v>605</v>
      </c>
      <c r="E161" s="107" t="s">
        <v>616</v>
      </c>
      <c r="F161" s="106">
        <v>1</v>
      </c>
      <c r="G161" s="106">
        <v>1</v>
      </c>
      <c r="H161" s="63" t="s">
        <v>1106</v>
      </c>
      <c r="I161" s="33" t="s">
        <v>599</v>
      </c>
      <c r="J161" s="64" t="s">
        <v>718</v>
      </c>
      <c r="K161" s="109" t="s">
        <v>617</v>
      </c>
      <c r="L161" s="36" t="s">
        <v>718</v>
      </c>
      <c r="M161" s="29" t="s">
        <v>399</v>
      </c>
      <c r="N161" s="29" t="s">
        <v>399</v>
      </c>
      <c r="O161" s="29" t="s">
        <v>399</v>
      </c>
      <c r="P161" s="110" t="s">
        <v>399</v>
      </c>
      <c r="Q161" s="35"/>
    </row>
    <row r="162" spans="1:17" x14ac:dyDescent="0.25">
      <c r="A162" s="108">
        <v>152</v>
      </c>
      <c r="B162" s="108" t="s">
        <v>593</v>
      </c>
      <c r="C162" s="106">
        <v>1</v>
      </c>
      <c r="D162" s="107" t="s">
        <v>605</v>
      </c>
      <c r="E162" s="107" t="s">
        <v>618</v>
      </c>
      <c r="F162" s="106">
        <v>1</v>
      </c>
      <c r="G162" s="106">
        <v>1</v>
      </c>
      <c r="H162" s="63" t="s">
        <v>1106</v>
      </c>
      <c r="I162" s="33" t="s">
        <v>599</v>
      </c>
      <c r="J162" s="64" t="s">
        <v>718</v>
      </c>
      <c r="K162" s="109" t="s">
        <v>619</v>
      </c>
      <c r="L162" s="36" t="s">
        <v>718</v>
      </c>
      <c r="M162" s="29" t="s">
        <v>399</v>
      </c>
      <c r="N162" s="29" t="s">
        <v>399</v>
      </c>
      <c r="O162" s="29" t="s">
        <v>399</v>
      </c>
      <c r="P162" s="110" t="s">
        <v>399</v>
      </c>
      <c r="Q162" s="35"/>
    </row>
    <row r="163" spans="1:17" x14ac:dyDescent="0.25">
      <c r="A163" s="108">
        <v>153</v>
      </c>
      <c r="B163" s="108" t="s">
        <v>593</v>
      </c>
      <c r="C163" s="106">
        <v>1</v>
      </c>
      <c r="D163" s="107" t="s">
        <v>605</v>
      </c>
      <c r="E163" s="107" t="s">
        <v>620</v>
      </c>
      <c r="F163" s="106">
        <v>1</v>
      </c>
      <c r="G163" s="106">
        <v>1</v>
      </c>
      <c r="H163" s="63" t="s">
        <v>1106</v>
      </c>
      <c r="I163" s="33" t="s">
        <v>599</v>
      </c>
      <c r="J163" s="64" t="s">
        <v>718</v>
      </c>
      <c r="K163" s="109" t="s">
        <v>621</v>
      </c>
      <c r="L163" s="36" t="s">
        <v>718</v>
      </c>
      <c r="M163" s="29" t="s">
        <v>399</v>
      </c>
      <c r="N163" s="29" t="s">
        <v>399</v>
      </c>
      <c r="O163" s="29" t="s">
        <v>399</v>
      </c>
      <c r="P163" s="110" t="s">
        <v>399</v>
      </c>
      <c r="Q163" s="35"/>
    </row>
    <row r="164" spans="1:17" x14ac:dyDescent="0.25">
      <c r="A164" s="108">
        <v>154</v>
      </c>
      <c r="B164" s="108" t="s">
        <v>593</v>
      </c>
      <c r="C164" s="106">
        <v>1</v>
      </c>
      <c r="D164" s="107" t="s">
        <v>605</v>
      </c>
      <c r="E164" s="107" t="s">
        <v>622</v>
      </c>
      <c r="F164" s="106">
        <v>4</v>
      </c>
      <c r="G164" s="106">
        <v>4</v>
      </c>
      <c r="H164" s="63" t="s">
        <v>1105</v>
      </c>
      <c r="I164" s="33" t="s">
        <v>597</v>
      </c>
      <c r="J164" s="64" t="s">
        <v>718</v>
      </c>
      <c r="K164" s="109" t="s">
        <v>623</v>
      </c>
      <c r="L164" s="36" t="s">
        <v>718</v>
      </c>
      <c r="M164" s="29" t="s">
        <v>399</v>
      </c>
      <c r="N164" s="29" t="s">
        <v>399</v>
      </c>
      <c r="O164" s="29" t="s">
        <v>399</v>
      </c>
      <c r="P164" s="110" t="s">
        <v>399</v>
      </c>
      <c r="Q164" s="35"/>
    </row>
    <row r="165" spans="1:17" x14ac:dyDescent="0.25">
      <c r="A165" s="108">
        <v>155</v>
      </c>
      <c r="B165" s="108" t="s">
        <v>593</v>
      </c>
      <c r="C165" s="106">
        <v>1</v>
      </c>
      <c r="D165" s="107" t="s">
        <v>605</v>
      </c>
      <c r="E165" s="107" t="s">
        <v>624</v>
      </c>
      <c r="F165" s="106">
        <v>2</v>
      </c>
      <c r="G165" s="106">
        <v>2</v>
      </c>
      <c r="H165" s="63" t="s">
        <v>1106</v>
      </c>
      <c r="I165" s="33" t="s">
        <v>599</v>
      </c>
      <c r="J165" s="64" t="s">
        <v>718</v>
      </c>
      <c r="K165" s="109" t="s">
        <v>625</v>
      </c>
      <c r="L165" s="36" t="s">
        <v>718</v>
      </c>
      <c r="M165" s="29" t="s">
        <v>399</v>
      </c>
      <c r="N165" s="29" t="s">
        <v>399</v>
      </c>
      <c r="O165" s="29" t="s">
        <v>399</v>
      </c>
      <c r="P165" s="110" t="s">
        <v>399</v>
      </c>
      <c r="Q165" s="35"/>
    </row>
    <row r="166" spans="1:17" x14ac:dyDescent="0.25">
      <c r="A166" s="108">
        <v>156</v>
      </c>
      <c r="B166" s="108" t="s">
        <v>593</v>
      </c>
      <c r="C166" s="106">
        <v>1</v>
      </c>
      <c r="D166" s="107" t="s">
        <v>24</v>
      </c>
      <c r="E166" s="107" t="s">
        <v>25</v>
      </c>
      <c r="F166" s="106">
        <v>1</v>
      </c>
      <c r="G166" s="106">
        <v>1</v>
      </c>
      <c r="H166" s="63"/>
      <c r="I166" s="33" t="s">
        <v>599</v>
      </c>
      <c r="J166" s="64" t="s">
        <v>718</v>
      </c>
      <c r="K166" s="109" t="s">
        <v>626</v>
      </c>
      <c r="L166" s="36" t="s">
        <v>718</v>
      </c>
      <c r="M166" s="29" t="s">
        <v>399</v>
      </c>
      <c r="N166" s="29" t="s">
        <v>399</v>
      </c>
      <c r="O166" s="29" t="s">
        <v>399</v>
      </c>
      <c r="P166" s="110" t="s">
        <v>399</v>
      </c>
      <c r="Q166" s="35"/>
    </row>
    <row r="167" spans="1:17" x14ac:dyDescent="0.25">
      <c r="A167" s="108">
        <v>157</v>
      </c>
      <c r="B167" s="108" t="s">
        <v>593</v>
      </c>
      <c r="C167" s="106">
        <v>1</v>
      </c>
      <c r="D167" s="107" t="s">
        <v>24</v>
      </c>
      <c r="E167" s="107" t="s">
        <v>34</v>
      </c>
      <c r="F167" s="106">
        <v>2</v>
      </c>
      <c r="G167" s="106">
        <v>2</v>
      </c>
      <c r="H167" s="63"/>
      <c r="I167" s="33" t="s">
        <v>627</v>
      </c>
      <c r="J167" s="64" t="s">
        <v>718</v>
      </c>
      <c r="K167" s="109" t="s">
        <v>628</v>
      </c>
      <c r="L167" s="36" t="s">
        <v>718</v>
      </c>
      <c r="M167" s="29" t="s">
        <v>399</v>
      </c>
      <c r="N167" s="29" t="s">
        <v>399</v>
      </c>
      <c r="O167" s="29" t="s">
        <v>399</v>
      </c>
      <c r="P167" s="110" t="s">
        <v>399</v>
      </c>
      <c r="Q167" s="35"/>
    </row>
    <row r="168" spans="1:17" x14ac:dyDescent="0.25">
      <c r="A168" s="108">
        <v>158</v>
      </c>
      <c r="B168" s="108" t="s">
        <v>593</v>
      </c>
      <c r="C168" s="106">
        <v>1</v>
      </c>
      <c r="D168" s="107" t="s">
        <v>24</v>
      </c>
      <c r="E168" s="107" t="s">
        <v>50</v>
      </c>
      <c r="F168" s="106">
        <v>4</v>
      </c>
      <c r="G168" s="106">
        <v>4</v>
      </c>
      <c r="H168" s="63"/>
      <c r="I168" s="33" t="s">
        <v>629</v>
      </c>
      <c r="J168" s="64" t="s">
        <v>718</v>
      </c>
      <c r="K168" s="109" t="s">
        <v>630</v>
      </c>
      <c r="L168" s="36" t="s">
        <v>718</v>
      </c>
      <c r="M168" s="29" t="s">
        <v>399</v>
      </c>
      <c r="N168" s="29" t="s">
        <v>399</v>
      </c>
      <c r="O168" s="29" t="s">
        <v>399</v>
      </c>
      <c r="P168" s="110" t="s">
        <v>399</v>
      </c>
      <c r="Q168" s="35"/>
    </row>
    <row r="169" spans="1:17" ht="27" x14ac:dyDescent="0.25">
      <c r="A169" s="108">
        <v>159</v>
      </c>
      <c r="B169" s="108" t="s">
        <v>593</v>
      </c>
      <c r="C169" s="106">
        <v>1</v>
      </c>
      <c r="D169" s="107" t="s">
        <v>29</v>
      </c>
      <c r="E169" s="107" t="s">
        <v>631</v>
      </c>
      <c r="F169" s="106">
        <v>4</v>
      </c>
      <c r="G169" s="106">
        <v>4</v>
      </c>
      <c r="H169" s="63" t="s">
        <v>1103</v>
      </c>
      <c r="I169" s="33" t="s">
        <v>629</v>
      </c>
      <c r="J169" s="64" t="s">
        <v>718</v>
      </c>
      <c r="K169" s="109" t="s">
        <v>632</v>
      </c>
      <c r="L169" s="36" t="s">
        <v>718</v>
      </c>
      <c r="M169" s="29" t="s">
        <v>399</v>
      </c>
      <c r="N169" s="29" t="s">
        <v>399</v>
      </c>
      <c r="O169" s="29" t="s">
        <v>399</v>
      </c>
      <c r="P169" s="110" t="s">
        <v>399</v>
      </c>
      <c r="Q169" s="35"/>
    </row>
    <row r="170" spans="1:17" ht="27" x14ac:dyDescent="0.25">
      <c r="A170" s="108">
        <v>160</v>
      </c>
      <c r="B170" s="108" t="s">
        <v>593</v>
      </c>
      <c r="C170" s="106">
        <v>1</v>
      </c>
      <c r="D170" s="107" t="s">
        <v>29</v>
      </c>
      <c r="E170" s="107" t="s">
        <v>633</v>
      </c>
      <c r="F170" s="106">
        <v>4</v>
      </c>
      <c r="G170" s="106">
        <v>4</v>
      </c>
      <c r="H170" s="63" t="s">
        <v>1103</v>
      </c>
      <c r="I170" s="33" t="s">
        <v>629</v>
      </c>
      <c r="J170" s="64" t="s">
        <v>718</v>
      </c>
      <c r="K170" s="109" t="s">
        <v>634</v>
      </c>
      <c r="L170" s="36" t="s">
        <v>718</v>
      </c>
      <c r="M170" s="29" t="s">
        <v>399</v>
      </c>
      <c r="N170" s="29" t="s">
        <v>399</v>
      </c>
      <c r="O170" s="29" t="s">
        <v>399</v>
      </c>
      <c r="P170" s="110" t="s">
        <v>399</v>
      </c>
      <c r="Q170" s="35"/>
    </row>
    <row r="171" spans="1:17" ht="30" x14ac:dyDescent="0.25">
      <c r="A171" s="108">
        <v>161</v>
      </c>
      <c r="B171" s="108" t="s">
        <v>593</v>
      </c>
      <c r="C171" s="106">
        <v>1</v>
      </c>
      <c r="D171" s="107" t="s">
        <v>29</v>
      </c>
      <c r="E171" s="107" t="s">
        <v>30</v>
      </c>
      <c r="F171" s="106">
        <v>2</v>
      </c>
      <c r="G171" s="106">
        <v>2</v>
      </c>
      <c r="H171" s="63"/>
      <c r="I171" s="33" t="s">
        <v>635</v>
      </c>
      <c r="J171" s="64" t="s">
        <v>718</v>
      </c>
      <c r="K171" s="109" t="s">
        <v>636</v>
      </c>
      <c r="L171" s="36" t="s">
        <v>718</v>
      </c>
      <c r="M171" s="29" t="s">
        <v>399</v>
      </c>
      <c r="N171" s="29" t="s">
        <v>399</v>
      </c>
      <c r="O171" s="29" t="s">
        <v>399</v>
      </c>
      <c r="P171" s="110" t="s">
        <v>399</v>
      </c>
      <c r="Q171" s="35"/>
    </row>
    <row r="172" spans="1:17" ht="30" x14ac:dyDescent="0.25">
      <c r="A172" s="108">
        <v>162</v>
      </c>
      <c r="B172" s="108" t="s">
        <v>593</v>
      </c>
      <c r="C172" s="106">
        <v>1</v>
      </c>
      <c r="D172" s="107" t="s">
        <v>29</v>
      </c>
      <c r="E172" s="107" t="s">
        <v>97</v>
      </c>
      <c r="F172" s="106">
        <v>2</v>
      </c>
      <c r="G172" s="106">
        <v>2</v>
      </c>
      <c r="H172" s="63"/>
      <c r="I172" s="33" t="s">
        <v>627</v>
      </c>
      <c r="J172" s="64" t="s">
        <v>718</v>
      </c>
      <c r="K172" s="109" t="s">
        <v>637</v>
      </c>
      <c r="L172" s="36" t="s">
        <v>718</v>
      </c>
      <c r="M172" s="29" t="s">
        <v>399</v>
      </c>
      <c r="N172" s="29" t="s">
        <v>399</v>
      </c>
      <c r="O172" s="29" t="s">
        <v>399</v>
      </c>
      <c r="P172" s="110" t="s">
        <v>399</v>
      </c>
      <c r="Q172" s="35"/>
    </row>
    <row r="173" spans="1:17" x14ac:dyDescent="0.25">
      <c r="A173" s="108">
        <v>163</v>
      </c>
      <c r="B173" s="108" t="s">
        <v>593</v>
      </c>
      <c r="C173" s="106">
        <v>1</v>
      </c>
      <c r="D173" s="107" t="s">
        <v>27</v>
      </c>
      <c r="E173" s="107" t="s">
        <v>638</v>
      </c>
      <c r="F173" s="106">
        <v>2</v>
      </c>
      <c r="G173" s="106">
        <v>2</v>
      </c>
      <c r="H173" s="63"/>
      <c r="I173" s="33" t="s">
        <v>639</v>
      </c>
      <c r="J173" s="64" t="s">
        <v>718</v>
      </c>
      <c r="K173" s="109" t="s">
        <v>640</v>
      </c>
      <c r="L173" s="36" t="s">
        <v>718</v>
      </c>
      <c r="M173" s="29" t="s">
        <v>399</v>
      </c>
      <c r="N173" s="29" t="s">
        <v>399</v>
      </c>
      <c r="O173" s="29" t="s">
        <v>399</v>
      </c>
      <c r="P173" s="110" t="s">
        <v>399</v>
      </c>
      <c r="Q173" s="35"/>
    </row>
    <row r="174" spans="1:17" x14ac:dyDescent="0.25">
      <c r="A174" s="108">
        <v>164</v>
      </c>
      <c r="B174" s="108" t="s">
        <v>593</v>
      </c>
      <c r="C174" s="106">
        <v>1</v>
      </c>
      <c r="D174" s="107" t="s">
        <v>27</v>
      </c>
      <c r="E174" s="107" t="s">
        <v>641</v>
      </c>
      <c r="F174" s="106">
        <v>2</v>
      </c>
      <c r="G174" s="106">
        <v>2</v>
      </c>
      <c r="H174" s="63"/>
      <c r="I174" s="33" t="s">
        <v>639</v>
      </c>
      <c r="J174" s="64" t="s">
        <v>718</v>
      </c>
      <c r="K174" s="109" t="s">
        <v>642</v>
      </c>
      <c r="L174" s="36" t="s">
        <v>718</v>
      </c>
      <c r="M174" s="29" t="s">
        <v>399</v>
      </c>
      <c r="N174" s="29" t="s">
        <v>399</v>
      </c>
      <c r="O174" s="29" t="s">
        <v>399</v>
      </c>
      <c r="P174" s="110" t="s">
        <v>399</v>
      </c>
      <c r="Q174" s="35"/>
    </row>
    <row r="175" spans="1:17" x14ac:dyDescent="0.25">
      <c r="A175" s="108">
        <v>165</v>
      </c>
      <c r="B175" s="108" t="s">
        <v>593</v>
      </c>
      <c r="C175" s="106">
        <v>1</v>
      </c>
      <c r="D175" s="107" t="s">
        <v>27</v>
      </c>
      <c r="E175" s="107" t="s">
        <v>643</v>
      </c>
      <c r="F175" s="106">
        <v>2</v>
      </c>
      <c r="G175" s="106">
        <v>2</v>
      </c>
      <c r="H175" s="63"/>
      <c r="I175" s="33" t="s">
        <v>639</v>
      </c>
      <c r="J175" s="64" t="s">
        <v>718</v>
      </c>
      <c r="K175" s="109" t="s">
        <v>644</v>
      </c>
      <c r="L175" s="36" t="s">
        <v>718</v>
      </c>
      <c r="M175" s="29" t="s">
        <v>399</v>
      </c>
      <c r="N175" s="29" t="s">
        <v>399</v>
      </c>
      <c r="O175" s="29" t="s">
        <v>399</v>
      </c>
      <c r="P175" s="110" t="s">
        <v>399</v>
      </c>
      <c r="Q175" s="35"/>
    </row>
    <row r="176" spans="1:17" x14ac:dyDescent="0.25">
      <c r="A176" s="108">
        <v>166</v>
      </c>
      <c r="B176" s="108" t="s">
        <v>593</v>
      </c>
      <c r="C176" s="106">
        <v>1</v>
      </c>
      <c r="D176" s="107" t="s">
        <v>27</v>
      </c>
      <c r="E176" s="107" t="s">
        <v>645</v>
      </c>
      <c r="F176" s="106">
        <v>1</v>
      </c>
      <c r="G176" s="106">
        <v>1</v>
      </c>
      <c r="H176" s="63"/>
      <c r="I176" s="33" t="s">
        <v>646</v>
      </c>
      <c r="J176" s="64" t="s">
        <v>718</v>
      </c>
      <c r="K176" s="109" t="s">
        <v>647</v>
      </c>
      <c r="L176" s="36" t="s">
        <v>718</v>
      </c>
      <c r="M176" s="29" t="s">
        <v>399</v>
      </c>
      <c r="N176" s="29" t="s">
        <v>399</v>
      </c>
      <c r="O176" s="29" t="s">
        <v>399</v>
      </c>
      <c r="P176" s="110" t="s">
        <v>399</v>
      </c>
      <c r="Q176" s="35"/>
    </row>
    <row r="177" spans="1:17" x14ac:dyDescent="0.25">
      <c r="A177" s="108">
        <v>167</v>
      </c>
      <c r="B177" s="108" t="s">
        <v>593</v>
      </c>
      <c r="C177" s="106">
        <v>1</v>
      </c>
      <c r="D177" s="107" t="s">
        <v>27</v>
      </c>
      <c r="E177" s="107" t="s">
        <v>648</v>
      </c>
      <c r="F177" s="106">
        <v>1</v>
      </c>
      <c r="G177" s="106">
        <v>1</v>
      </c>
      <c r="H177" s="63"/>
      <c r="I177" s="33" t="s">
        <v>646</v>
      </c>
      <c r="J177" s="64" t="s">
        <v>718</v>
      </c>
      <c r="K177" s="109" t="s">
        <v>649</v>
      </c>
      <c r="L177" s="36" t="s">
        <v>718</v>
      </c>
      <c r="M177" s="29" t="s">
        <v>399</v>
      </c>
      <c r="N177" s="29" t="s">
        <v>399</v>
      </c>
      <c r="O177" s="29" t="s">
        <v>399</v>
      </c>
      <c r="P177" s="110" t="s">
        <v>399</v>
      </c>
      <c r="Q177" s="35"/>
    </row>
    <row r="178" spans="1:17" x14ac:dyDescent="0.25">
      <c r="A178" s="108">
        <v>168</v>
      </c>
      <c r="B178" s="108" t="s">
        <v>593</v>
      </c>
      <c r="C178" s="106">
        <v>1</v>
      </c>
      <c r="D178" s="107" t="s">
        <v>27</v>
      </c>
      <c r="E178" s="107" t="s">
        <v>650</v>
      </c>
      <c r="F178" s="106">
        <v>1</v>
      </c>
      <c r="G178" s="106">
        <v>1</v>
      </c>
      <c r="H178" s="63"/>
      <c r="I178" s="33" t="s">
        <v>646</v>
      </c>
      <c r="J178" s="64" t="s">
        <v>718</v>
      </c>
      <c r="K178" s="109" t="s">
        <v>651</v>
      </c>
      <c r="L178" s="36" t="s">
        <v>718</v>
      </c>
      <c r="M178" s="29" t="s">
        <v>399</v>
      </c>
      <c r="N178" s="29" t="s">
        <v>399</v>
      </c>
      <c r="O178" s="29" t="s">
        <v>399</v>
      </c>
      <c r="P178" s="110" t="s">
        <v>399</v>
      </c>
      <c r="Q178" s="35"/>
    </row>
    <row r="179" spans="1:17" ht="27" x14ac:dyDescent="0.25">
      <c r="A179" s="108">
        <v>169</v>
      </c>
      <c r="B179" s="108" t="s">
        <v>593</v>
      </c>
      <c r="C179" s="106">
        <v>1</v>
      </c>
      <c r="D179" s="107" t="s">
        <v>27</v>
      </c>
      <c r="E179" s="107" t="s">
        <v>28</v>
      </c>
      <c r="F179" s="106">
        <v>3</v>
      </c>
      <c r="G179" s="106">
        <v>3</v>
      </c>
      <c r="H179" s="63" t="s">
        <v>1101</v>
      </c>
      <c r="I179" s="33" t="s">
        <v>652</v>
      </c>
      <c r="J179" s="64" t="s">
        <v>718</v>
      </c>
      <c r="K179" s="109" t="s">
        <v>653</v>
      </c>
      <c r="L179" s="36" t="s">
        <v>718</v>
      </c>
      <c r="M179" s="29" t="s">
        <v>726</v>
      </c>
      <c r="N179" s="29" t="s">
        <v>399</v>
      </c>
      <c r="O179" s="29" t="s">
        <v>399</v>
      </c>
      <c r="P179" s="110" t="s">
        <v>399</v>
      </c>
      <c r="Q179" s="35"/>
    </row>
    <row r="180" spans="1:17" x14ac:dyDescent="0.25">
      <c r="A180" s="108">
        <v>170</v>
      </c>
      <c r="B180" s="108" t="s">
        <v>593</v>
      </c>
      <c r="C180" s="106">
        <v>1</v>
      </c>
      <c r="D180" s="107" t="s">
        <v>96</v>
      </c>
      <c r="E180" s="107" t="s">
        <v>101</v>
      </c>
      <c r="F180" s="106">
        <v>2</v>
      </c>
      <c r="G180" s="106">
        <v>2</v>
      </c>
      <c r="H180" s="63" t="s">
        <v>1102</v>
      </c>
      <c r="I180" s="33" t="s">
        <v>635</v>
      </c>
      <c r="J180" s="64" t="s">
        <v>718</v>
      </c>
      <c r="K180" s="109" t="s">
        <v>654</v>
      </c>
      <c r="L180" s="36" t="s">
        <v>718</v>
      </c>
      <c r="M180" s="29" t="s">
        <v>399</v>
      </c>
      <c r="N180" s="29" t="s">
        <v>399</v>
      </c>
      <c r="O180" s="29" t="s">
        <v>399</v>
      </c>
      <c r="P180" s="110" t="s">
        <v>399</v>
      </c>
      <c r="Q180" s="35"/>
    </row>
    <row r="181" spans="1:17" x14ac:dyDescent="0.25">
      <c r="A181" s="108">
        <v>171</v>
      </c>
      <c r="B181" s="108" t="s">
        <v>593</v>
      </c>
      <c r="C181" s="106">
        <v>1</v>
      </c>
      <c r="D181" s="107" t="s">
        <v>96</v>
      </c>
      <c r="E181" s="107" t="s">
        <v>655</v>
      </c>
      <c r="F181" s="106">
        <v>2</v>
      </c>
      <c r="G181" s="106">
        <v>2</v>
      </c>
      <c r="H181" s="63"/>
      <c r="I181" s="33" t="s">
        <v>635</v>
      </c>
      <c r="J181" s="64" t="s">
        <v>718</v>
      </c>
      <c r="K181" s="109"/>
      <c r="L181" s="36" t="s">
        <v>718</v>
      </c>
      <c r="M181" s="29" t="s">
        <v>399</v>
      </c>
      <c r="N181" s="29" t="s">
        <v>399</v>
      </c>
      <c r="O181" s="29" t="s">
        <v>399</v>
      </c>
      <c r="P181" s="110" t="s">
        <v>399</v>
      </c>
      <c r="Q181" s="35"/>
    </row>
    <row r="182" spans="1:17" x14ac:dyDescent="0.25">
      <c r="A182" s="108">
        <v>172</v>
      </c>
      <c r="B182" s="108" t="s">
        <v>593</v>
      </c>
      <c r="C182" s="106">
        <v>1</v>
      </c>
      <c r="D182" s="107" t="s">
        <v>96</v>
      </c>
      <c r="E182" s="107" t="s">
        <v>656</v>
      </c>
      <c r="F182" s="106">
        <v>2</v>
      </c>
      <c r="G182" s="106">
        <v>2</v>
      </c>
      <c r="H182" s="63"/>
      <c r="I182" s="33" t="s">
        <v>635</v>
      </c>
      <c r="J182" s="64" t="s">
        <v>718</v>
      </c>
      <c r="K182" s="109"/>
      <c r="L182" s="36" t="s">
        <v>718</v>
      </c>
      <c r="M182" s="29" t="s">
        <v>399</v>
      </c>
      <c r="N182" s="29" t="s">
        <v>399</v>
      </c>
      <c r="O182" s="29" t="s">
        <v>399</v>
      </c>
      <c r="P182" s="110" t="s">
        <v>399</v>
      </c>
      <c r="Q182" s="35"/>
    </row>
    <row r="183" spans="1:17" x14ac:dyDescent="0.25">
      <c r="A183" s="108">
        <v>173</v>
      </c>
      <c r="B183" s="108" t="s">
        <v>593</v>
      </c>
      <c r="C183" s="106">
        <v>1</v>
      </c>
      <c r="D183" s="107" t="s">
        <v>96</v>
      </c>
      <c r="E183" s="107" t="s">
        <v>657</v>
      </c>
      <c r="F183" s="106">
        <v>2</v>
      </c>
      <c r="G183" s="106">
        <v>2</v>
      </c>
      <c r="H183" s="63"/>
      <c r="I183" s="33" t="s">
        <v>635</v>
      </c>
      <c r="J183" s="64" t="s">
        <v>718</v>
      </c>
      <c r="K183" s="109"/>
      <c r="L183" s="36" t="s">
        <v>718</v>
      </c>
      <c r="M183" s="29" t="s">
        <v>399</v>
      </c>
      <c r="N183" s="29" t="s">
        <v>399</v>
      </c>
      <c r="O183" s="29" t="s">
        <v>399</v>
      </c>
      <c r="P183" s="110" t="s">
        <v>399</v>
      </c>
      <c r="Q183" s="35"/>
    </row>
    <row r="184" spans="1:17" x14ac:dyDescent="0.25">
      <c r="A184" s="108">
        <v>174</v>
      </c>
      <c r="B184" s="108" t="s">
        <v>593</v>
      </c>
      <c r="C184" s="106">
        <v>1</v>
      </c>
      <c r="D184" s="107" t="s">
        <v>96</v>
      </c>
      <c r="E184" s="107" t="s">
        <v>658</v>
      </c>
      <c r="F184" s="106">
        <v>1</v>
      </c>
      <c r="G184" s="106">
        <v>1</v>
      </c>
      <c r="H184" s="63"/>
      <c r="I184" s="33" t="s">
        <v>635</v>
      </c>
      <c r="J184" s="64" t="s">
        <v>718</v>
      </c>
      <c r="K184" s="109" t="s">
        <v>659</v>
      </c>
      <c r="L184" s="36" t="s">
        <v>718</v>
      </c>
      <c r="M184" s="29" t="s">
        <v>399</v>
      </c>
      <c r="N184" s="29" t="s">
        <v>399</v>
      </c>
      <c r="O184" s="29" t="s">
        <v>399</v>
      </c>
      <c r="P184" s="110" t="s">
        <v>399</v>
      </c>
      <c r="Q184" s="35"/>
    </row>
    <row r="185" spans="1:17" ht="27" x14ac:dyDescent="0.25">
      <c r="A185" s="108">
        <v>175</v>
      </c>
      <c r="B185" s="108" t="s">
        <v>593</v>
      </c>
      <c r="C185" s="106">
        <v>1</v>
      </c>
      <c r="D185" s="107" t="s">
        <v>96</v>
      </c>
      <c r="E185" s="107" t="s">
        <v>102</v>
      </c>
      <c r="F185" s="106">
        <v>6</v>
      </c>
      <c r="G185" s="106">
        <v>6</v>
      </c>
      <c r="H185" s="63"/>
      <c r="I185" s="33" t="s">
        <v>627</v>
      </c>
      <c r="J185" s="64" t="s">
        <v>718</v>
      </c>
      <c r="K185" s="109" t="s">
        <v>660</v>
      </c>
      <c r="L185" s="36" t="s">
        <v>718</v>
      </c>
      <c r="M185" s="29" t="s">
        <v>399</v>
      </c>
      <c r="N185" s="29" t="s">
        <v>399</v>
      </c>
      <c r="O185" s="29" t="s">
        <v>399</v>
      </c>
      <c r="P185" s="110" t="s">
        <v>399</v>
      </c>
      <c r="Q185" s="35"/>
    </row>
    <row r="186" spans="1:17" x14ac:dyDescent="0.25">
      <c r="A186" s="108">
        <v>176</v>
      </c>
      <c r="B186" s="108" t="s">
        <v>593</v>
      </c>
      <c r="C186" s="106">
        <v>1</v>
      </c>
      <c r="D186" s="107" t="s">
        <v>45</v>
      </c>
      <c r="E186" s="107" t="s">
        <v>46</v>
      </c>
      <c r="F186" s="106">
        <v>2</v>
      </c>
      <c r="G186" s="106">
        <v>2</v>
      </c>
      <c r="H186" s="63"/>
      <c r="I186" s="33" t="s">
        <v>635</v>
      </c>
      <c r="J186" s="64" t="s">
        <v>718</v>
      </c>
      <c r="K186" s="109" t="s">
        <v>661</v>
      </c>
      <c r="L186" s="36" t="s">
        <v>718</v>
      </c>
      <c r="M186" s="29" t="s">
        <v>399</v>
      </c>
      <c r="N186" s="29" t="s">
        <v>399</v>
      </c>
      <c r="O186" s="29" t="s">
        <v>399</v>
      </c>
      <c r="P186" s="110" t="s">
        <v>399</v>
      </c>
      <c r="Q186" s="35"/>
    </row>
    <row r="187" spans="1:17" x14ac:dyDescent="0.25">
      <c r="A187" s="108">
        <v>177</v>
      </c>
      <c r="B187" s="108" t="s">
        <v>593</v>
      </c>
      <c r="C187" s="106">
        <v>1</v>
      </c>
      <c r="D187" s="107" t="s">
        <v>98</v>
      </c>
      <c r="E187" s="107" t="s">
        <v>668</v>
      </c>
      <c r="F187" s="106">
        <v>2</v>
      </c>
      <c r="G187" s="106">
        <v>0</v>
      </c>
      <c r="H187" s="63"/>
      <c r="I187" s="33" t="s">
        <v>718</v>
      </c>
      <c r="J187" s="64" t="s">
        <v>718</v>
      </c>
      <c r="K187" s="109" t="s">
        <v>669</v>
      </c>
      <c r="L187" s="36" t="s">
        <v>718</v>
      </c>
      <c r="M187" s="29" t="s">
        <v>399</v>
      </c>
      <c r="N187" s="29" t="s">
        <v>399</v>
      </c>
      <c r="O187" s="29" t="s">
        <v>399</v>
      </c>
      <c r="P187" s="110" t="s">
        <v>399</v>
      </c>
      <c r="Q187" s="35"/>
    </row>
    <row r="188" spans="1:17" ht="27" x14ac:dyDescent="0.25">
      <c r="A188" s="108">
        <v>178</v>
      </c>
      <c r="B188" s="108" t="s">
        <v>593</v>
      </c>
      <c r="C188" s="106">
        <v>1</v>
      </c>
      <c r="D188" s="107" t="s">
        <v>99</v>
      </c>
      <c r="E188" s="107" t="s">
        <v>670</v>
      </c>
      <c r="F188" s="106">
        <v>2</v>
      </c>
      <c r="G188" s="106">
        <v>2</v>
      </c>
      <c r="H188" s="63"/>
      <c r="I188" s="33" t="s">
        <v>718</v>
      </c>
      <c r="J188" s="64" t="s">
        <v>718</v>
      </c>
      <c r="K188" s="109" t="s">
        <v>671</v>
      </c>
      <c r="L188" s="36" t="s">
        <v>718</v>
      </c>
      <c r="M188" s="29" t="s">
        <v>399</v>
      </c>
      <c r="N188" s="29" t="s">
        <v>399</v>
      </c>
      <c r="O188" s="29" t="s">
        <v>399</v>
      </c>
      <c r="P188" s="110" t="s">
        <v>399</v>
      </c>
      <c r="Q188" s="35"/>
    </row>
    <row r="189" spans="1:17" ht="27" x14ac:dyDescent="0.25">
      <c r="A189" s="108">
        <v>179</v>
      </c>
      <c r="B189" s="108" t="s">
        <v>593</v>
      </c>
      <c r="C189" s="106">
        <v>1</v>
      </c>
      <c r="D189" s="107" t="s">
        <v>99</v>
      </c>
      <c r="E189" s="107" t="s">
        <v>672</v>
      </c>
      <c r="F189" s="106">
        <v>2</v>
      </c>
      <c r="G189" s="106">
        <v>2</v>
      </c>
      <c r="H189" s="63"/>
      <c r="I189" s="33" t="s">
        <v>718</v>
      </c>
      <c r="J189" s="64" t="s">
        <v>718</v>
      </c>
      <c r="K189" s="109" t="s">
        <v>671</v>
      </c>
      <c r="L189" s="36" t="s">
        <v>718</v>
      </c>
      <c r="M189" s="29" t="s">
        <v>399</v>
      </c>
      <c r="N189" s="29" t="s">
        <v>399</v>
      </c>
      <c r="O189" s="29" t="s">
        <v>399</v>
      </c>
      <c r="P189" s="110" t="s">
        <v>399</v>
      </c>
      <c r="Q189" s="35"/>
    </row>
    <row r="190" spans="1:17" x14ac:dyDescent="0.25">
      <c r="A190" s="108">
        <v>180</v>
      </c>
      <c r="B190" s="108" t="s">
        <v>593</v>
      </c>
      <c r="C190" s="106">
        <v>1</v>
      </c>
      <c r="D190" s="107"/>
      <c r="E190" s="107" t="s">
        <v>673</v>
      </c>
      <c r="F190" s="106">
        <v>300</v>
      </c>
      <c r="G190" s="106">
        <v>300</v>
      </c>
      <c r="H190" s="63"/>
      <c r="I190" s="33" t="s">
        <v>718</v>
      </c>
      <c r="J190" s="64" t="s">
        <v>718</v>
      </c>
      <c r="K190" s="109" t="s">
        <v>674</v>
      </c>
      <c r="L190" s="36" t="s">
        <v>718</v>
      </c>
      <c r="M190" s="29" t="s">
        <v>399</v>
      </c>
      <c r="N190" s="29" t="s">
        <v>399</v>
      </c>
      <c r="O190" s="29" t="s">
        <v>399</v>
      </c>
      <c r="P190" s="110" t="s">
        <v>399</v>
      </c>
      <c r="Q190" s="35"/>
    </row>
    <row r="191" spans="1:17" x14ac:dyDescent="0.25">
      <c r="A191" s="108">
        <v>181</v>
      </c>
      <c r="B191" s="108" t="s">
        <v>675</v>
      </c>
      <c r="C191" s="106">
        <v>1</v>
      </c>
      <c r="D191" s="107" t="s">
        <v>64</v>
      </c>
      <c r="E191" s="107" t="s">
        <v>676</v>
      </c>
      <c r="F191" s="106">
        <v>1</v>
      </c>
      <c r="G191" s="106">
        <v>1</v>
      </c>
      <c r="H191" s="63" t="s">
        <v>971</v>
      </c>
      <c r="I191" s="33" t="s">
        <v>718</v>
      </c>
      <c r="J191" s="64" t="s">
        <v>677</v>
      </c>
      <c r="K191" s="109"/>
      <c r="L191" s="36" t="s">
        <v>718</v>
      </c>
      <c r="M191" s="29" t="s">
        <v>726</v>
      </c>
      <c r="N191" s="29" t="s">
        <v>399</v>
      </c>
      <c r="O191" s="29" t="s">
        <v>399</v>
      </c>
      <c r="P191" s="110" t="s">
        <v>399</v>
      </c>
      <c r="Q191" s="35" t="s">
        <v>1097</v>
      </c>
    </row>
    <row r="192" spans="1:17" x14ac:dyDescent="0.25">
      <c r="A192" s="108">
        <v>182</v>
      </c>
      <c r="B192" s="108" t="s">
        <v>675</v>
      </c>
      <c r="C192" s="106">
        <v>1</v>
      </c>
      <c r="D192" s="107" t="s">
        <v>678</v>
      </c>
      <c r="E192" s="107" t="s">
        <v>679</v>
      </c>
      <c r="F192" s="106">
        <v>1</v>
      </c>
      <c r="G192" s="106">
        <v>1</v>
      </c>
      <c r="H192" s="63"/>
      <c r="I192" s="33" t="s">
        <v>718</v>
      </c>
      <c r="J192" s="64" t="s">
        <v>677</v>
      </c>
      <c r="K192" s="109" t="s">
        <v>680</v>
      </c>
      <c r="L192" s="36" t="s">
        <v>718</v>
      </c>
      <c r="M192" s="29" t="s">
        <v>399</v>
      </c>
      <c r="N192" s="29" t="s">
        <v>399</v>
      </c>
      <c r="O192" s="29" t="s">
        <v>399</v>
      </c>
      <c r="P192" s="110" t="s">
        <v>399</v>
      </c>
      <c r="Q192" s="35"/>
    </row>
    <row r="193" spans="1:17" x14ac:dyDescent="0.25">
      <c r="A193" s="108">
        <v>183</v>
      </c>
      <c r="B193" s="108" t="s">
        <v>675</v>
      </c>
      <c r="C193" s="106">
        <v>1</v>
      </c>
      <c r="D193" s="107" t="s">
        <v>64</v>
      </c>
      <c r="E193" s="107" t="s">
        <v>681</v>
      </c>
      <c r="F193" s="106">
        <v>2</v>
      </c>
      <c r="G193" s="106">
        <v>2</v>
      </c>
      <c r="H193" s="63"/>
      <c r="I193" s="33" t="s">
        <v>718</v>
      </c>
      <c r="J193" s="64" t="s">
        <v>682</v>
      </c>
      <c r="K193" s="109"/>
      <c r="L193" s="36" t="s">
        <v>718</v>
      </c>
      <c r="M193" s="29" t="s">
        <v>399</v>
      </c>
      <c r="N193" s="29" t="s">
        <v>399</v>
      </c>
      <c r="O193" s="29" t="s">
        <v>399</v>
      </c>
      <c r="P193" s="110" t="s">
        <v>399</v>
      </c>
      <c r="Q193" s="35"/>
    </row>
    <row r="194" spans="1:17" x14ac:dyDescent="0.25">
      <c r="A194" s="108">
        <v>184</v>
      </c>
      <c r="B194" s="108" t="s">
        <v>675</v>
      </c>
      <c r="C194" s="106">
        <v>1</v>
      </c>
      <c r="D194" s="107" t="s">
        <v>64</v>
      </c>
      <c r="E194" s="107" t="s">
        <v>683</v>
      </c>
      <c r="F194" s="106">
        <v>4</v>
      </c>
      <c r="G194" s="106">
        <v>4</v>
      </c>
      <c r="H194" s="63"/>
      <c r="I194" s="33" t="s">
        <v>718</v>
      </c>
      <c r="J194" s="64" t="s">
        <v>682</v>
      </c>
      <c r="K194" s="109" t="s">
        <v>684</v>
      </c>
      <c r="L194" s="36" t="s">
        <v>718</v>
      </c>
      <c r="M194" s="29" t="s">
        <v>399</v>
      </c>
      <c r="N194" s="29" t="s">
        <v>399</v>
      </c>
      <c r="O194" s="29" t="s">
        <v>399</v>
      </c>
      <c r="P194" s="110" t="s">
        <v>399</v>
      </c>
      <c r="Q194" s="35"/>
    </row>
    <row r="195" spans="1:17" x14ac:dyDescent="0.25">
      <c r="A195" s="108">
        <v>185</v>
      </c>
      <c r="B195" s="108" t="s">
        <v>675</v>
      </c>
      <c r="C195" s="106">
        <v>1</v>
      </c>
      <c r="D195" s="107" t="s">
        <v>64</v>
      </c>
      <c r="E195" s="107" t="s">
        <v>685</v>
      </c>
      <c r="F195" s="106">
        <v>6</v>
      </c>
      <c r="G195" s="106">
        <v>6</v>
      </c>
      <c r="H195" s="63"/>
      <c r="I195" s="33" t="s">
        <v>718</v>
      </c>
      <c r="J195" s="64" t="s">
        <v>682</v>
      </c>
      <c r="K195" s="109" t="s">
        <v>686</v>
      </c>
      <c r="L195" s="36" t="s">
        <v>718</v>
      </c>
      <c r="M195" s="29" t="s">
        <v>399</v>
      </c>
      <c r="N195" s="29" t="s">
        <v>399</v>
      </c>
      <c r="O195" s="29" t="s">
        <v>399</v>
      </c>
      <c r="P195" s="110" t="s">
        <v>399</v>
      </c>
      <c r="Q195" s="35"/>
    </row>
    <row r="196" spans="1:17" x14ac:dyDescent="0.25">
      <c r="A196" s="108">
        <v>186</v>
      </c>
      <c r="B196" s="108" t="s">
        <v>675</v>
      </c>
      <c r="C196" s="106">
        <v>1</v>
      </c>
      <c r="D196" s="107" t="s">
        <v>64</v>
      </c>
      <c r="E196" s="107" t="s">
        <v>687</v>
      </c>
      <c r="F196" s="106">
        <v>4</v>
      </c>
      <c r="G196" s="106">
        <v>4</v>
      </c>
      <c r="H196" s="63"/>
      <c r="I196" s="33" t="s">
        <v>718</v>
      </c>
      <c r="J196" s="64" t="s">
        <v>682</v>
      </c>
      <c r="K196" s="109" t="s">
        <v>688</v>
      </c>
      <c r="L196" s="36" t="s">
        <v>718</v>
      </c>
      <c r="M196" s="29" t="s">
        <v>399</v>
      </c>
      <c r="N196" s="29" t="s">
        <v>399</v>
      </c>
      <c r="O196" s="29" t="s">
        <v>399</v>
      </c>
      <c r="P196" s="110" t="s">
        <v>399</v>
      </c>
      <c r="Q196" s="35"/>
    </row>
    <row r="197" spans="1:17" x14ac:dyDescent="0.25">
      <c r="A197" s="108">
        <v>187</v>
      </c>
      <c r="B197" s="108" t="s">
        <v>675</v>
      </c>
      <c r="C197" s="106">
        <v>1</v>
      </c>
      <c r="D197" s="107" t="s">
        <v>64</v>
      </c>
      <c r="E197" s="107" t="s">
        <v>689</v>
      </c>
      <c r="F197" s="106">
        <v>2</v>
      </c>
      <c r="G197" s="106">
        <v>2</v>
      </c>
      <c r="H197" s="63"/>
      <c r="I197" s="33" t="s">
        <v>718</v>
      </c>
      <c r="J197" s="64" t="s">
        <v>682</v>
      </c>
      <c r="K197" s="109" t="s">
        <v>690</v>
      </c>
      <c r="L197" s="36" t="s">
        <v>718</v>
      </c>
      <c r="M197" s="29" t="s">
        <v>399</v>
      </c>
      <c r="N197" s="29" t="s">
        <v>399</v>
      </c>
      <c r="O197" s="29" t="s">
        <v>399</v>
      </c>
      <c r="P197" s="110" t="s">
        <v>399</v>
      </c>
      <c r="Q197" s="35"/>
    </row>
    <row r="198" spans="1:17" x14ac:dyDescent="0.25">
      <c r="A198" s="108">
        <v>188</v>
      </c>
      <c r="B198" s="108" t="s">
        <v>675</v>
      </c>
      <c r="C198" s="106">
        <v>1</v>
      </c>
      <c r="D198" s="107" t="s">
        <v>64</v>
      </c>
      <c r="E198" s="107" t="s">
        <v>691</v>
      </c>
      <c r="F198" s="106">
        <v>2</v>
      </c>
      <c r="G198" s="106">
        <v>2</v>
      </c>
      <c r="H198" s="63"/>
      <c r="I198" s="33" t="s">
        <v>718</v>
      </c>
      <c r="J198" s="64" t="s">
        <v>682</v>
      </c>
      <c r="K198" s="109" t="s">
        <v>692</v>
      </c>
      <c r="L198" s="36" t="s">
        <v>718</v>
      </c>
      <c r="M198" s="29" t="s">
        <v>399</v>
      </c>
      <c r="N198" s="29" t="s">
        <v>399</v>
      </c>
      <c r="O198" s="29" t="s">
        <v>399</v>
      </c>
      <c r="P198" s="110" t="s">
        <v>399</v>
      </c>
      <c r="Q198" s="35"/>
    </row>
    <row r="199" spans="1:17" ht="40.5" x14ac:dyDescent="0.25">
      <c r="A199" s="108">
        <v>189</v>
      </c>
      <c r="B199" s="108" t="s">
        <v>675</v>
      </c>
      <c r="C199" s="106">
        <v>1</v>
      </c>
      <c r="D199" s="107" t="s">
        <v>64</v>
      </c>
      <c r="E199" s="107" t="s">
        <v>693</v>
      </c>
      <c r="F199" s="106">
        <v>7</v>
      </c>
      <c r="G199" s="106">
        <v>7</v>
      </c>
      <c r="H199" s="63"/>
      <c r="I199" s="33" t="s">
        <v>718</v>
      </c>
      <c r="J199" s="64" t="s">
        <v>694</v>
      </c>
      <c r="K199" s="109" t="s">
        <v>695</v>
      </c>
      <c r="L199" s="36" t="s">
        <v>718</v>
      </c>
      <c r="M199" s="29" t="s">
        <v>399</v>
      </c>
      <c r="N199" s="29" t="s">
        <v>399</v>
      </c>
      <c r="O199" s="29" t="s">
        <v>399</v>
      </c>
      <c r="P199" s="110" t="s">
        <v>399</v>
      </c>
      <c r="Q199" s="35"/>
    </row>
    <row r="200" spans="1:17" ht="54" x14ac:dyDescent="0.25">
      <c r="A200" s="108">
        <v>190</v>
      </c>
      <c r="B200" s="108" t="s">
        <v>675</v>
      </c>
      <c r="C200" s="106">
        <v>1</v>
      </c>
      <c r="D200" s="107" t="s">
        <v>64</v>
      </c>
      <c r="E200" s="107" t="s">
        <v>696</v>
      </c>
      <c r="F200" s="106">
        <v>4</v>
      </c>
      <c r="G200" s="106">
        <v>4</v>
      </c>
      <c r="H200" s="63" t="s">
        <v>834</v>
      </c>
      <c r="I200" s="33" t="s">
        <v>718</v>
      </c>
      <c r="J200" s="64" t="s">
        <v>697</v>
      </c>
      <c r="K200" s="109" t="s">
        <v>698</v>
      </c>
      <c r="L200" s="36" t="s">
        <v>718</v>
      </c>
      <c r="M200" s="29" t="s">
        <v>399</v>
      </c>
      <c r="N200" s="29" t="s">
        <v>399</v>
      </c>
      <c r="O200" s="29" t="s">
        <v>399</v>
      </c>
      <c r="P200" s="110" t="s">
        <v>399</v>
      </c>
      <c r="Q200" s="35"/>
    </row>
    <row r="201" spans="1:17" ht="27" x14ac:dyDescent="0.25">
      <c r="A201" s="108">
        <v>191</v>
      </c>
      <c r="B201" s="108" t="s">
        <v>675</v>
      </c>
      <c r="C201" s="106">
        <v>1</v>
      </c>
      <c r="D201" s="107" t="s">
        <v>64</v>
      </c>
      <c r="E201" s="107" t="s">
        <v>699</v>
      </c>
      <c r="F201" s="106">
        <v>8</v>
      </c>
      <c r="G201" s="106">
        <v>8</v>
      </c>
      <c r="H201" s="63"/>
      <c r="I201" s="33" t="s">
        <v>718</v>
      </c>
      <c r="J201" s="64" t="s">
        <v>697</v>
      </c>
      <c r="K201" s="109" t="s">
        <v>692</v>
      </c>
      <c r="L201" s="36" t="s">
        <v>718</v>
      </c>
      <c r="M201" s="29" t="s">
        <v>399</v>
      </c>
      <c r="N201" s="29" t="s">
        <v>399</v>
      </c>
      <c r="O201" s="29" t="s">
        <v>399</v>
      </c>
      <c r="P201" s="110" t="s">
        <v>399</v>
      </c>
      <c r="Q201" s="35"/>
    </row>
    <row r="202" spans="1:17" x14ac:dyDescent="0.25">
      <c r="A202" s="108">
        <v>192</v>
      </c>
      <c r="B202" s="108" t="s">
        <v>675</v>
      </c>
      <c r="C202" s="106">
        <v>1</v>
      </c>
      <c r="D202" s="107" t="s">
        <v>64</v>
      </c>
      <c r="E202" s="107" t="s">
        <v>700</v>
      </c>
      <c r="F202" s="106">
        <v>4</v>
      </c>
      <c r="G202" s="106">
        <v>4</v>
      </c>
      <c r="H202" s="63"/>
      <c r="I202" s="33" t="s">
        <v>718</v>
      </c>
      <c r="J202" s="64" t="s">
        <v>701</v>
      </c>
      <c r="K202" s="109" t="s">
        <v>695</v>
      </c>
      <c r="L202" s="36" t="s">
        <v>718</v>
      </c>
      <c r="M202" s="29" t="s">
        <v>399</v>
      </c>
      <c r="N202" s="29" t="s">
        <v>399</v>
      </c>
      <c r="O202" s="29" t="s">
        <v>399</v>
      </c>
      <c r="P202" s="110" t="s">
        <v>399</v>
      </c>
      <c r="Q202" s="35"/>
    </row>
    <row r="203" spans="1:17" x14ac:dyDescent="0.25">
      <c r="A203" s="108">
        <v>193</v>
      </c>
      <c r="B203" s="108" t="s">
        <v>675</v>
      </c>
      <c r="C203" s="106">
        <v>1</v>
      </c>
      <c r="D203" s="107" t="s">
        <v>64</v>
      </c>
      <c r="E203" s="107" t="s">
        <v>702</v>
      </c>
      <c r="F203" s="106">
        <v>4</v>
      </c>
      <c r="G203" s="106">
        <v>4</v>
      </c>
      <c r="H203" s="63"/>
      <c r="I203" s="33" t="s">
        <v>718</v>
      </c>
      <c r="J203" s="64" t="s">
        <v>703</v>
      </c>
      <c r="K203" s="109" t="s">
        <v>692</v>
      </c>
      <c r="L203" s="36" t="s">
        <v>718</v>
      </c>
      <c r="M203" s="29" t="s">
        <v>399</v>
      </c>
      <c r="N203" s="29" t="s">
        <v>399</v>
      </c>
      <c r="O203" s="29" t="s">
        <v>399</v>
      </c>
      <c r="P203" s="110" t="s">
        <v>399</v>
      </c>
      <c r="Q203" s="35"/>
    </row>
    <row r="204" spans="1:17" x14ac:dyDescent="0.25">
      <c r="A204" s="108">
        <v>194</v>
      </c>
      <c r="B204" s="108" t="s">
        <v>675</v>
      </c>
      <c r="C204" s="106">
        <v>1</v>
      </c>
      <c r="D204" s="107" t="s">
        <v>64</v>
      </c>
      <c r="E204" s="107" t="s">
        <v>704</v>
      </c>
      <c r="F204" s="106">
        <v>4</v>
      </c>
      <c r="G204" s="106">
        <v>4</v>
      </c>
      <c r="H204" s="63"/>
      <c r="I204" s="33" t="s">
        <v>718</v>
      </c>
      <c r="J204" s="64" t="s">
        <v>703</v>
      </c>
      <c r="K204" s="109" t="s">
        <v>705</v>
      </c>
      <c r="L204" s="36" t="s">
        <v>718</v>
      </c>
      <c r="M204" s="29" t="s">
        <v>399</v>
      </c>
      <c r="N204" s="29" t="s">
        <v>399</v>
      </c>
      <c r="O204" s="29" t="s">
        <v>399</v>
      </c>
      <c r="P204" s="110" t="s">
        <v>399</v>
      </c>
      <c r="Q204" s="35"/>
    </row>
    <row r="205" spans="1:17" x14ac:dyDescent="0.25">
      <c r="A205" s="108">
        <v>195</v>
      </c>
      <c r="B205" s="108" t="s">
        <v>675</v>
      </c>
      <c r="C205" s="106">
        <v>1</v>
      </c>
      <c r="D205" s="107" t="s">
        <v>64</v>
      </c>
      <c r="E205" s="107" t="s">
        <v>706</v>
      </c>
      <c r="F205" s="106">
        <v>2</v>
      </c>
      <c r="G205" s="106">
        <v>0</v>
      </c>
      <c r="H205" s="63"/>
      <c r="I205" s="33" t="s">
        <v>718</v>
      </c>
      <c r="J205" s="64" t="s">
        <v>703</v>
      </c>
      <c r="K205" s="109"/>
      <c r="L205" s="36" t="s">
        <v>718</v>
      </c>
      <c r="M205" s="29" t="s">
        <v>399</v>
      </c>
      <c r="N205" s="29" t="s">
        <v>399</v>
      </c>
      <c r="O205" s="29" t="s">
        <v>399</v>
      </c>
      <c r="P205" s="110" t="s">
        <v>399</v>
      </c>
      <c r="Q205" s="35"/>
    </row>
    <row r="206" spans="1:17" ht="27" x14ac:dyDescent="0.25">
      <c r="A206" s="108">
        <v>196</v>
      </c>
      <c r="B206" s="108" t="s">
        <v>675</v>
      </c>
      <c r="C206" s="106">
        <v>1</v>
      </c>
      <c r="D206" s="107" t="s">
        <v>64</v>
      </c>
      <c r="E206" s="107" t="s">
        <v>707</v>
      </c>
      <c r="F206" s="106">
        <v>4</v>
      </c>
      <c r="G206" s="106">
        <v>4</v>
      </c>
      <c r="H206" s="63"/>
      <c r="I206" s="33" t="s">
        <v>718</v>
      </c>
      <c r="J206" s="64" t="s">
        <v>708</v>
      </c>
      <c r="K206" s="109" t="s">
        <v>695</v>
      </c>
      <c r="L206" s="36" t="s">
        <v>718</v>
      </c>
      <c r="M206" s="29" t="s">
        <v>399</v>
      </c>
      <c r="N206" s="29" t="s">
        <v>399</v>
      </c>
      <c r="O206" s="29" t="s">
        <v>399</v>
      </c>
      <c r="P206" s="110" t="s">
        <v>399</v>
      </c>
      <c r="Q206" s="35"/>
    </row>
    <row r="207" spans="1:17" x14ac:dyDescent="0.25">
      <c r="A207" s="108">
        <v>197</v>
      </c>
      <c r="B207" s="108" t="s">
        <v>675</v>
      </c>
      <c r="C207" s="106">
        <v>1</v>
      </c>
      <c r="D207" s="107" t="s">
        <v>64</v>
      </c>
      <c r="E207" s="107" t="s">
        <v>709</v>
      </c>
      <c r="F207" s="106">
        <v>2</v>
      </c>
      <c r="G207" s="106">
        <v>2</v>
      </c>
      <c r="H207" s="63" t="s">
        <v>1096</v>
      </c>
      <c r="I207" s="33" t="s">
        <v>718</v>
      </c>
      <c r="J207" s="64" t="s">
        <v>710</v>
      </c>
      <c r="K207" s="109" t="s">
        <v>711</v>
      </c>
      <c r="L207" s="36" t="s">
        <v>718</v>
      </c>
      <c r="M207" s="29" t="s">
        <v>726</v>
      </c>
      <c r="N207" s="29" t="s">
        <v>399</v>
      </c>
      <c r="O207" s="29" t="s">
        <v>399</v>
      </c>
      <c r="P207" s="110" t="s">
        <v>399</v>
      </c>
      <c r="Q207" s="35" t="s">
        <v>1097</v>
      </c>
    </row>
    <row r="208" spans="1:17" x14ac:dyDescent="0.25">
      <c r="A208" s="108">
        <v>198</v>
      </c>
      <c r="B208" s="108" t="s">
        <v>675</v>
      </c>
      <c r="C208" s="106">
        <v>1</v>
      </c>
      <c r="D208" s="107" t="s">
        <v>64</v>
      </c>
      <c r="E208" s="107" t="s">
        <v>712</v>
      </c>
      <c r="F208" s="106">
        <v>4</v>
      </c>
      <c r="G208" s="106">
        <v>4</v>
      </c>
      <c r="H208" s="63"/>
      <c r="I208" s="33" t="s">
        <v>718</v>
      </c>
      <c r="J208" s="64" t="s">
        <v>713</v>
      </c>
      <c r="K208" s="109" t="s">
        <v>705</v>
      </c>
      <c r="L208" s="36" t="s">
        <v>718</v>
      </c>
      <c r="M208" s="29" t="s">
        <v>399</v>
      </c>
      <c r="N208" s="29" t="s">
        <v>399</v>
      </c>
      <c r="O208" s="29" t="s">
        <v>399</v>
      </c>
      <c r="P208" s="110" t="s">
        <v>399</v>
      </c>
      <c r="Q208" s="35"/>
    </row>
    <row r="209" spans="1:17" x14ac:dyDescent="0.25">
      <c r="A209" s="108">
        <v>199</v>
      </c>
      <c r="B209" s="108" t="s">
        <v>675</v>
      </c>
      <c r="C209" s="106">
        <v>1</v>
      </c>
      <c r="D209" s="107" t="s">
        <v>64</v>
      </c>
      <c r="E209" s="107" t="s">
        <v>104</v>
      </c>
      <c r="F209" s="106">
        <v>2</v>
      </c>
      <c r="G209" s="106">
        <v>0</v>
      </c>
      <c r="H209" s="63"/>
      <c r="I209" s="33" t="s">
        <v>718</v>
      </c>
      <c r="J209" s="64" t="s">
        <v>713</v>
      </c>
      <c r="K209" s="109"/>
      <c r="L209" s="36" t="s">
        <v>718</v>
      </c>
      <c r="M209" s="29" t="s">
        <v>399</v>
      </c>
      <c r="N209" s="29" t="s">
        <v>399</v>
      </c>
      <c r="O209" s="29" t="s">
        <v>399</v>
      </c>
      <c r="P209" s="110" t="s">
        <v>399</v>
      </c>
      <c r="Q209" s="35"/>
    </row>
    <row r="210" spans="1:17" x14ac:dyDescent="0.25">
      <c r="A210" s="108">
        <v>200</v>
      </c>
      <c r="B210" s="108" t="s">
        <v>675</v>
      </c>
      <c r="C210" s="106">
        <v>1</v>
      </c>
      <c r="D210" s="107" t="s">
        <v>64</v>
      </c>
      <c r="E210" s="107" t="s">
        <v>716</v>
      </c>
      <c r="F210" s="106">
        <v>1</v>
      </c>
      <c r="G210" s="106">
        <v>1</v>
      </c>
      <c r="H210" s="63"/>
      <c r="I210" s="33" t="s">
        <v>718</v>
      </c>
      <c r="J210" s="64" t="s">
        <v>677</v>
      </c>
      <c r="K210" s="109" t="s">
        <v>717</v>
      </c>
      <c r="L210" s="36"/>
      <c r="M210" s="29" t="s">
        <v>399</v>
      </c>
      <c r="N210" s="29" t="s">
        <v>399</v>
      </c>
      <c r="O210" s="29" t="s">
        <v>399</v>
      </c>
      <c r="P210" s="110" t="s">
        <v>399</v>
      </c>
      <c r="Q210" s="35"/>
    </row>
    <row r="211" spans="1:17" s="3" customFormat="1" ht="45.75" thickBot="1" x14ac:dyDescent="0.3">
      <c r="A211" s="108">
        <v>201</v>
      </c>
      <c r="B211" s="108" t="s">
        <v>410</v>
      </c>
      <c r="C211" s="106">
        <v>1</v>
      </c>
      <c r="D211" s="107" t="s">
        <v>64</v>
      </c>
      <c r="E211" s="107" t="s">
        <v>970</v>
      </c>
      <c r="F211" s="106">
        <v>3</v>
      </c>
      <c r="G211" s="106">
        <v>0</v>
      </c>
      <c r="H211" s="65" t="s">
        <v>967</v>
      </c>
      <c r="I211" s="66" t="s">
        <v>718</v>
      </c>
      <c r="J211" s="67"/>
      <c r="K211" s="109" t="s">
        <v>968</v>
      </c>
      <c r="L211" s="36" t="s">
        <v>718</v>
      </c>
      <c r="M211" s="29" t="s">
        <v>399</v>
      </c>
      <c r="N211" s="29" t="s">
        <v>399</v>
      </c>
      <c r="O211" s="29" t="s">
        <v>399</v>
      </c>
      <c r="P211" s="110" t="s">
        <v>399</v>
      </c>
      <c r="Q211" s="35" t="s">
        <v>969</v>
      </c>
    </row>
  </sheetData>
  <sheetProtection sheet="1" formatColumns="0" formatRows="0" insertRows="0" sort="0" autoFilter="0"/>
  <mergeCells count="16">
    <mergeCell ref="A4:B4"/>
    <mergeCell ref="C4:D4"/>
    <mergeCell ref="A1:D1"/>
    <mergeCell ref="A2:B2"/>
    <mergeCell ref="C2:D2"/>
    <mergeCell ref="A3:B3"/>
    <mergeCell ref="C3:D3"/>
    <mergeCell ref="L9:O9"/>
    <mergeCell ref="A5:B5"/>
    <mergeCell ref="C5:D5"/>
    <mergeCell ref="A7:B7"/>
    <mergeCell ref="C7:D7"/>
    <mergeCell ref="A9:K9"/>
    <mergeCell ref="A6:B6"/>
    <mergeCell ref="C6:D6"/>
    <mergeCell ref="H7:J7"/>
  </mergeCells>
  <phoneticPr fontId="5" type="noConversion"/>
  <conditionalFormatting sqref="M11:O211">
    <cfRule type="cellIs" dxfId="118" priority="2" operator="equal">
      <formula>"N"</formula>
    </cfRule>
    <cfRule type="cellIs" dxfId="117" priority="3" operator="equal">
      <formula>"Y"</formula>
    </cfRule>
  </conditionalFormatting>
  <conditionalFormatting sqref="P11:P211">
    <cfRule type="cellIs" dxfId="116" priority="1" operator="equal">
      <formula>"Y"</formula>
    </cfRule>
  </conditionalFormatting>
  <dataValidations count="3">
    <dataValidation type="list" showInputMessage="1" showErrorMessage="1" sqref="E6" xr:uid="{44E848CA-FEA6-402E-90CA-3700D148067E}">
      <formula1>"Y, N"</formula1>
    </dataValidation>
    <dataValidation type="list" allowBlank="1" showInputMessage="1" showErrorMessage="1" sqref="M11:P211" xr:uid="{D1B69469-B79B-42DF-AA43-B7BBA3E185B0}">
      <formula1>"N, Y"</formula1>
    </dataValidation>
    <dataValidation type="list" allowBlank="1" showInputMessage="1" showErrorMessage="1" sqref="B11:B211" xr:uid="{1799A680-D2F6-4106-B382-5E79EB51D80B}">
      <formula1>"HYD, PNU, ELEC, MECH, N/A"</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un_Master_Equipment_Sync">
                <anchor moveWithCells="1" sizeWithCells="1">
                  <from>
                    <xdr:col>0</xdr:col>
                    <xdr:colOff>95250</xdr:colOff>
                    <xdr:row>8</xdr:row>
                    <xdr:rowOff>76200</xdr:rowOff>
                  </from>
                  <to>
                    <xdr:col>2</xdr:col>
                    <xdr:colOff>228600</xdr:colOff>
                    <xdr:row>8</xdr:row>
                    <xdr:rowOff>514350</xdr:rowOff>
                  </to>
                </anchor>
              </controlPr>
            </control>
          </mc:Choice>
        </mc:AlternateContent>
        <mc:AlternateContent xmlns:mc="http://schemas.openxmlformats.org/markup-compatibility/2006">
          <mc:Choice Requires="x14">
            <control shapeId="1030" r:id="rId4" name="Button 6">
              <controlPr defaultSize="0" print="0" autoFill="0" autoPict="0" macro="[0]!Apply_Changes">
                <anchor moveWithCells="1" sizeWithCells="1">
                  <from>
                    <xdr:col>11</xdr:col>
                    <xdr:colOff>95250</xdr:colOff>
                    <xdr:row>8</xdr:row>
                    <xdr:rowOff>104775</xdr:rowOff>
                  </from>
                  <to>
                    <xdr:col>11</xdr:col>
                    <xdr:colOff>800100</xdr:colOff>
                    <xdr:row>8</xdr:row>
                    <xdr:rowOff>533400</xdr:rowOff>
                  </to>
                </anchor>
              </controlPr>
            </control>
          </mc:Choice>
        </mc:AlternateContent>
        <mc:AlternateContent xmlns:mc="http://schemas.openxmlformats.org/markup-compatibility/2006">
          <mc:Choice Requires="x14">
            <control shapeId="1054" r:id="rId5" name="Button 30">
              <controlPr defaultSize="0" print="0" autoFill="0" autoPict="0" macro="[0]!Delete_Removed_Parts">
                <anchor moveWithCells="1" sizeWithCells="1">
                  <from>
                    <xdr:col>15</xdr:col>
                    <xdr:colOff>95250</xdr:colOff>
                    <xdr:row>8</xdr:row>
                    <xdr:rowOff>76200</xdr:rowOff>
                  </from>
                  <to>
                    <xdr:col>15</xdr:col>
                    <xdr:colOff>781050</xdr:colOff>
                    <xdr:row>8</xdr:row>
                    <xdr:rowOff>523875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DB634-B3BC-403E-A6A6-EDEDD088FB48}">
  <sheetPr codeName="Sheet3"/>
  <dimension ref="A1:I98"/>
  <sheetViews>
    <sheetView zoomScale="85" zoomScaleNormal="85" workbookViewId="0">
      <selection activeCell="A12" sqref="A12:I98"/>
    </sheetView>
  </sheetViews>
  <sheetFormatPr defaultRowHeight="15" x14ac:dyDescent="0.25"/>
  <cols>
    <col min="1" max="1" width="11.85546875" style="1" customWidth="1"/>
    <col min="2" max="2" width="22" style="1" customWidth="1"/>
    <col min="3" max="3" width="39" style="1" customWidth="1"/>
    <col min="4" max="4" width="64.7109375" style="1" customWidth="1"/>
    <col min="5" max="5" width="16.85546875" style="1" customWidth="1"/>
    <col min="6" max="6" width="13.5703125" style="1" customWidth="1"/>
    <col min="7" max="7" width="28" style="1" customWidth="1"/>
    <col min="8" max="8" width="18.85546875" style="1" customWidth="1"/>
    <col min="9" max="9" width="81.7109375" style="1" customWidth="1"/>
    <col min="10" max="16384" width="9.140625" style="1"/>
  </cols>
  <sheetData>
    <row r="1" spans="1:9" ht="15.75" thickBot="1" x14ac:dyDescent="0.3">
      <c r="A1" s="90" t="s">
        <v>350</v>
      </c>
      <c r="B1" s="91"/>
      <c r="C1" s="92"/>
      <c r="D1" s="57"/>
      <c r="G1" s="1" t="s">
        <v>956</v>
      </c>
      <c r="H1" s="1" t="s">
        <v>949</v>
      </c>
      <c r="I1" s="1" t="s">
        <v>957</v>
      </c>
    </row>
    <row r="2" spans="1:9" x14ac:dyDescent="0.25">
      <c r="A2" s="88" t="s">
        <v>351</v>
      </c>
      <c r="B2" s="89"/>
      <c r="C2" s="60">
        <f>Proj_Number</f>
        <v>20570</v>
      </c>
      <c r="D2" s="58"/>
      <c r="G2" s="1" t="s">
        <v>950</v>
      </c>
      <c r="H2" s="1" t="s">
        <v>953</v>
      </c>
      <c r="I2" s="1" t="s">
        <v>1046</v>
      </c>
    </row>
    <row r="3" spans="1:9" x14ac:dyDescent="0.25">
      <c r="A3" s="88" t="s">
        <v>352</v>
      </c>
      <c r="B3" s="89"/>
      <c r="C3" s="61" t="str">
        <f>Proj_Customer</f>
        <v>Company</v>
      </c>
      <c r="D3" s="58"/>
      <c r="G3" s="1" t="s">
        <v>946</v>
      </c>
      <c r="H3" s="1" t="s">
        <v>954</v>
      </c>
      <c r="I3" s="1" t="s">
        <v>1045</v>
      </c>
    </row>
    <row r="4" spans="1:9" x14ac:dyDescent="0.25">
      <c r="A4" s="88" t="s">
        <v>353</v>
      </c>
      <c r="B4" s="89"/>
      <c r="C4" s="61" t="str">
        <f>Proj_Name</f>
        <v>600HP Face Reversing 4H Rolling Mill</v>
      </c>
      <c r="D4" s="58"/>
      <c r="G4" s="1" t="s">
        <v>951</v>
      </c>
      <c r="H4" s="1" t="s">
        <v>517</v>
      </c>
      <c r="I4" s="1" t="s">
        <v>1048</v>
      </c>
    </row>
    <row r="5" spans="1:9" x14ac:dyDescent="0.25">
      <c r="A5" s="88" t="s">
        <v>354</v>
      </c>
      <c r="B5" s="89"/>
      <c r="C5" s="61" t="str">
        <f>Proj_Specifications</f>
        <v>480VAC/60Hz/3P(Δ), 1200 AMP</v>
      </c>
      <c r="D5" s="58"/>
      <c r="G5" s="1" t="s">
        <v>361</v>
      </c>
      <c r="H5" s="1" t="s">
        <v>955</v>
      </c>
      <c r="I5" s="1" t="s">
        <v>1047</v>
      </c>
    </row>
    <row r="6" spans="1:9" ht="15.75" thickBot="1" x14ac:dyDescent="0.3">
      <c r="A6" s="86" t="s">
        <v>355</v>
      </c>
      <c r="B6" s="87"/>
      <c r="C6" s="62">
        <f>Last_Synced</f>
        <v>46063</v>
      </c>
      <c r="D6" s="59"/>
      <c r="G6" s="1" t="s">
        <v>1088</v>
      </c>
      <c r="H6" s="1" t="s">
        <v>419</v>
      </c>
      <c r="I6" s="1" t="s">
        <v>1049</v>
      </c>
    </row>
    <row r="7" spans="1:9" x14ac:dyDescent="0.25">
      <c r="C7" s="43"/>
      <c r="I7" s="1" t="s">
        <v>1050</v>
      </c>
    </row>
    <row r="8" spans="1:9" x14ac:dyDescent="0.25">
      <c r="C8" s="43"/>
    </row>
    <row r="9" spans="1:9" x14ac:dyDescent="0.25">
      <c r="C9" s="43"/>
    </row>
    <row r="10" spans="1:9" ht="60.75" thickBot="1" x14ac:dyDescent="0.3">
      <c r="D10" s="43" t="s">
        <v>948</v>
      </c>
      <c r="H10" s="1" t="s">
        <v>1140</v>
      </c>
    </row>
    <row r="11" spans="1:9" ht="45" x14ac:dyDescent="0.25">
      <c r="A11" s="1" t="s">
        <v>335</v>
      </c>
      <c r="B11" s="1" t="s">
        <v>0</v>
      </c>
      <c r="C11" s="1" t="s">
        <v>1</v>
      </c>
      <c r="D11" s="1" t="s">
        <v>2</v>
      </c>
      <c r="E11" s="1" t="s">
        <v>339</v>
      </c>
      <c r="F11" s="5" t="s">
        <v>958</v>
      </c>
      <c r="G11" s="6" t="s">
        <v>340</v>
      </c>
      <c r="H11" s="7" t="s">
        <v>947</v>
      </c>
      <c r="I11" s="1" t="s">
        <v>945</v>
      </c>
    </row>
    <row r="12" spans="1:9" ht="90" x14ac:dyDescent="0.25">
      <c r="A12" s="111">
        <v>10</v>
      </c>
      <c r="B12" s="112" t="s">
        <v>727</v>
      </c>
      <c r="C12" s="112" t="s">
        <v>728</v>
      </c>
      <c r="D12" s="56" t="s">
        <v>730</v>
      </c>
      <c r="E12" s="112" t="s">
        <v>770</v>
      </c>
      <c r="F12" s="68" t="s">
        <v>362</v>
      </c>
      <c r="G12" s="29" t="s">
        <v>951</v>
      </c>
      <c r="H12" s="69" t="s">
        <v>1082</v>
      </c>
      <c r="I12" s="56" t="s">
        <v>1086</v>
      </c>
    </row>
    <row r="13" spans="1:9" ht="90" x14ac:dyDescent="0.25">
      <c r="A13" s="111">
        <v>10</v>
      </c>
      <c r="B13" s="112" t="s">
        <v>727</v>
      </c>
      <c r="C13" s="112" t="s">
        <v>728</v>
      </c>
      <c r="D13" s="56" t="s">
        <v>730</v>
      </c>
      <c r="E13" s="112" t="s">
        <v>771</v>
      </c>
      <c r="F13" s="68" t="s">
        <v>362</v>
      </c>
      <c r="G13" s="29" t="s">
        <v>951</v>
      </c>
      <c r="H13" s="69" t="s">
        <v>1083</v>
      </c>
      <c r="I13" s="56" t="s">
        <v>1085</v>
      </c>
    </row>
    <row r="14" spans="1:9" ht="90" x14ac:dyDescent="0.25">
      <c r="A14" s="111">
        <v>10</v>
      </c>
      <c r="B14" s="112" t="s">
        <v>727</v>
      </c>
      <c r="C14" s="112" t="s">
        <v>728</v>
      </c>
      <c r="D14" s="56" t="s">
        <v>730</v>
      </c>
      <c r="E14" s="112" t="s">
        <v>772</v>
      </c>
      <c r="F14" s="68" t="s">
        <v>362</v>
      </c>
      <c r="G14" s="29" t="s">
        <v>951</v>
      </c>
      <c r="H14" s="69" t="s">
        <v>1084</v>
      </c>
      <c r="I14" s="56" t="s">
        <v>1087</v>
      </c>
    </row>
    <row r="15" spans="1:9" x14ac:dyDescent="0.25">
      <c r="A15" s="111">
        <v>11</v>
      </c>
      <c r="B15" s="111" t="s">
        <v>975</v>
      </c>
      <c r="C15" s="111" t="s">
        <v>974</v>
      </c>
      <c r="D15" s="56" t="s">
        <v>961</v>
      </c>
      <c r="E15" s="112" t="s">
        <v>1177</v>
      </c>
      <c r="F15" s="68" t="s">
        <v>360</v>
      </c>
      <c r="G15" s="29" t="s">
        <v>976</v>
      </c>
      <c r="H15" s="69" t="s">
        <v>980</v>
      </c>
      <c r="I15" s="56" t="s">
        <v>1179</v>
      </c>
    </row>
    <row r="16" spans="1:9" x14ac:dyDescent="0.25">
      <c r="A16" s="111">
        <v>11</v>
      </c>
      <c r="B16" s="111" t="s">
        <v>975</v>
      </c>
      <c r="C16" s="111" t="s">
        <v>974</v>
      </c>
      <c r="D16" s="56" t="s">
        <v>961</v>
      </c>
      <c r="E16" s="112" t="s">
        <v>1178</v>
      </c>
      <c r="F16" s="68" t="s">
        <v>360</v>
      </c>
      <c r="G16" s="29" t="s">
        <v>977</v>
      </c>
      <c r="H16" s="69" t="s">
        <v>980</v>
      </c>
      <c r="I16" s="56" t="s">
        <v>1179</v>
      </c>
    </row>
    <row r="17" spans="1:9" ht="75" x14ac:dyDescent="0.25">
      <c r="A17" s="111">
        <v>14</v>
      </c>
      <c r="B17" s="112" t="s">
        <v>36</v>
      </c>
      <c r="C17" s="112" t="s">
        <v>37</v>
      </c>
      <c r="D17" s="56" t="s">
        <v>786</v>
      </c>
      <c r="E17" s="112" t="s">
        <v>943</v>
      </c>
      <c r="F17" s="68" t="s">
        <v>362</v>
      </c>
      <c r="G17" s="29" t="s">
        <v>1088</v>
      </c>
      <c r="H17" s="69" t="s">
        <v>1122</v>
      </c>
      <c r="I17" s="56" t="s">
        <v>1127</v>
      </c>
    </row>
    <row r="18" spans="1:9" ht="75" x14ac:dyDescent="0.25">
      <c r="A18" s="111">
        <v>14</v>
      </c>
      <c r="B18" s="112" t="s">
        <v>36</v>
      </c>
      <c r="C18" s="112" t="s">
        <v>37</v>
      </c>
      <c r="D18" s="56" t="s">
        <v>786</v>
      </c>
      <c r="E18" s="112" t="s">
        <v>944</v>
      </c>
      <c r="F18" s="68" t="s">
        <v>362</v>
      </c>
      <c r="G18" s="29" t="s">
        <v>1088</v>
      </c>
      <c r="H18" s="69" t="s">
        <v>1123</v>
      </c>
      <c r="I18" s="56" t="s">
        <v>1126</v>
      </c>
    </row>
    <row r="19" spans="1:9" x14ac:dyDescent="0.25">
      <c r="A19" s="111">
        <v>15</v>
      </c>
      <c r="B19" s="112" t="s">
        <v>133</v>
      </c>
      <c r="C19" s="112" t="s">
        <v>134</v>
      </c>
      <c r="D19" s="56" t="s">
        <v>787</v>
      </c>
      <c r="E19" s="112" t="s">
        <v>132</v>
      </c>
      <c r="F19" s="68" t="s">
        <v>360</v>
      </c>
      <c r="G19" s="29" t="s">
        <v>946</v>
      </c>
      <c r="H19" s="69" t="s">
        <v>1124</v>
      </c>
      <c r="I19" s="56" t="s">
        <v>1125</v>
      </c>
    </row>
    <row r="20" spans="1:9" ht="75" x14ac:dyDescent="0.25">
      <c r="A20" s="111">
        <v>16</v>
      </c>
      <c r="B20" s="112" t="s">
        <v>5</v>
      </c>
      <c r="C20" s="112" t="s">
        <v>6</v>
      </c>
      <c r="D20" s="56" t="s">
        <v>919</v>
      </c>
      <c r="E20" s="112" t="s">
        <v>788</v>
      </c>
      <c r="F20" s="68" t="s">
        <v>362</v>
      </c>
      <c r="G20" s="29" t="s">
        <v>951</v>
      </c>
      <c r="H20" s="69" t="s">
        <v>1077</v>
      </c>
      <c r="I20" s="56" t="s">
        <v>1078</v>
      </c>
    </row>
    <row r="21" spans="1:9" x14ac:dyDescent="0.25">
      <c r="A21" s="111">
        <v>17</v>
      </c>
      <c r="B21" s="112" t="s">
        <v>5</v>
      </c>
      <c r="C21" s="112" t="s">
        <v>79</v>
      </c>
      <c r="D21" s="56" t="s">
        <v>800</v>
      </c>
      <c r="E21" s="112" t="s">
        <v>746</v>
      </c>
      <c r="F21" s="68" t="s">
        <v>362</v>
      </c>
      <c r="G21" s="29" t="s">
        <v>951</v>
      </c>
      <c r="H21" s="69" t="s">
        <v>1004</v>
      </c>
      <c r="I21" s="56" t="s">
        <v>1007</v>
      </c>
    </row>
    <row r="22" spans="1:9" x14ac:dyDescent="0.25">
      <c r="A22" s="111">
        <v>17</v>
      </c>
      <c r="B22" s="112" t="s">
        <v>5</v>
      </c>
      <c r="C22" s="112" t="s">
        <v>79</v>
      </c>
      <c r="D22" s="56" t="s">
        <v>800</v>
      </c>
      <c r="E22" s="112" t="s">
        <v>747</v>
      </c>
      <c r="F22" s="68" t="s">
        <v>362</v>
      </c>
      <c r="G22" s="29" t="s">
        <v>951</v>
      </c>
      <c r="H22" s="69" t="s">
        <v>1006</v>
      </c>
      <c r="I22" s="56" t="s">
        <v>1007</v>
      </c>
    </row>
    <row r="23" spans="1:9" x14ac:dyDescent="0.25">
      <c r="A23" s="111">
        <v>18</v>
      </c>
      <c r="B23" s="112" t="s">
        <v>5</v>
      </c>
      <c r="C23" s="112" t="s">
        <v>437</v>
      </c>
      <c r="D23" s="56" t="s">
        <v>795</v>
      </c>
      <c r="E23" s="112" t="s">
        <v>748</v>
      </c>
      <c r="F23" s="68" t="s">
        <v>362</v>
      </c>
      <c r="G23" s="29" t="s">
        <v>951</v>
      </c>
      <c r="H23" s="69" t="s">
        <v>1019</v>
      </c>
      <c r="I23" s="56" t="s">
        <v>1025</v>
      </c>
    </row>
    <row r="24" spans="1:9" x14ac:dyDescent="0.25">
      <c r="A24" s="111">
        <v>18</v>
      </c>
      <c r="B24" s="112" t="s">
        <v>5</v>
      </c>
      <c r="C24" s="112" t="s">
        <v>437</v>
      </c>
      <c r="D24" s="56" t="s">
        <v>795</v>
      </c>
      <c r="E24" s="112" t="s">
        <v>749</v>
      </c>
      <c r="F24" s="68" t="s">
        <v>362</v>
      </c>
      <c r="G24" s="29" t="s">
        <v>951</v>
      </c>
      <c r="H24" s="69" t="s">
        <v>1020</v>
      </c>
      <c r="I24" s="56" t="s">
        <v>1026</v>
      </c>
    </row>
    <row r="25" spans="1:9" x14ac:dyDescent="0.25">
      <c r="A25" s="111">
        <v>19</v>
      </c>
      <c r="B25" s="112" t="s">
        <v>5</v>
      </c>
      <c r="C25" s="112" t="s">
        <v>67</v>
      </c>
      <c r="D25" s="56" t="s">
        <v>715</v>
      </c>
      <c r="E25" s="112" t="s">
        <v>750</v>
      </c>
      <c r="F25" s="68" t="s">
        <v>362</v>
      </c>
      <c r="G25" s="29" t="s">
        <v>951</v>
      </c>
      <c r="H25" s="69" t="s">
        <v>1017</v>
      </c>
      <c r="I25" s="56" t="s">
        <v>1028</v>
      </c>
    </row>
    <row r="26" spans="1:9" x14ac:dyDescent="0.25">
      <c r="A26" s="111">
        <v>19</v>
      </c>
      <c r="B26" s="112" t="s">
        <v>5</v>
      </c>
      <c r="C26" s="112" t="s">
        <v>67</v>
      </c>
      <c r="D26" s="56" t="s">
        <v>715</v>
      </c>
      <c r="E26" s="112" t="s">
        <v>751</v>
      </c>
      <c r="F26" s="68" t="s">
        <v>362</v>
      </c>
      <c r="G26" s="29" t="s">
        <v>951</v>
      </c>
      <c r="H26" s="69" t="s">
        <v>1018</v>
      </c>
      <c r="I26" s="56" t="s">
        <v>1029</v>
      </c>
    </row>
    <row r="27" spans="1:9" x14ac:dyDescent="0.25">
      <c r="A27" s="111">
        <v>19</v>
      </c>
      <c r="B27" s="112" t="s">
        <v>5</v>
      </c>
      <c r="C27" s="112" t="s">
        <v>67</v>
      </c>
      <c r="D27" s="56" t="s">
        <v>715</v>
      </c>
      <c r="E27" s="112" t="s">
        <v>752</v>
      </c>
      <c r="F27" s="68" t="s">
        <v>362</v>
      </c>
      <c r="G27" s="29" t="s">
        <v>951</v>
      </c>
      <c r="H27" s="69" t="s">
        <v>1027</v>
      </c>
      <c r="I27" s="56" t="s">
        <v>1030</v>
      </c>
    </row>
    <row r="28" spans="1:9" x14ac:dyDescent="0.25">
      <c r="A28" s="111">
        <v>19</v>
      </c>
      <c r="B28" s="112" t="s">
        <v>5</v>
      </c>
      <c r="C28" s="112" t="s">
        <v>67</v>
      </c>
      <c r="D28" s="56" t="s">
        <v>715</v>
      </c>
      <c r="E28" s="112" t="s">
        <v>753</v>
      </c>
      <c r="F28" s="68" t="s">
        <v>362</v>
      </c>
      <c r="G28" s="29" t="s">
        <v>951</v>
      </c>
      <c r="H28" s="69" t="s">
        <v>1032</v>
      </c>
      <c r="I28" s="56" t="s">
        <v>1031</v>
      </c>
    </row>
    <row r="29" spans="1:9" x14ac:dyDescent="0.25">
      <c r="A29" s="111">
        <v>19</v>
      </c>
      <c r="B29" s="112" t="s">
        <v>5</v>
      </c>
      <c r="C29" s="112" t="s">
        <v>67</v>
      </c>
      <c r="D29" s="56" t="s">
        <v>715</v>
      </c>
      <c r="E29" s="112" t="s">
        <v>754</v>
      </c>
      <c r="F29" s="68" t="s">
        <v>362</v>
      </c>
      <c r="G29" s="29" t="s">
        <v>951</v>
      </c>
      <c r="H29" s="69" t="s">
        <v>1033</v>
      </c>
      <c r="I29" s="56" t="s">
        <v>1035</v>
      </c>
    </row>
    <row r="30" spans="1:9" x14ac:dyDescent="0.25">
      <c r="A30" s="111">
        <v>19</v>
      </c>
      <c r="B30" s="112" t="s">
        <v>5</v>
      </c>
      <c r="C30" s="112" t="s">
        <v>67</v>
      </c>
      <c r="D30" s="56" t="s">
        <v>715</v>
      </c>
      <c r="E30" s="112" t="s">
        <v>755</v>
      </c>
      <c r="F30" s="68" t="s">
        <v>362</v>
      </c>
      <c r="G30" s="29" t="s">
        <v>951</v>
      </c>
      <c r="H30" s="69" t="s">
        <v>1034</v>
      </c>
      <c r="I30" s="56" t="s">
        <v>1036</v>
      </c>
    </row>
    <row r="31" spans="1:9" ht="45" x14ac:dyDescent="0.25">
      <c r="A31" s="111">
        <v>20</v>
      </c>
      <c r="B31" s="112" t="s">
        <v>5</v>
      </c>
      <c r="C31" s="112" t="s">
        <v>19</v>
      </c>
      <c r="D31" s="56" t="s">
        <v>662</v>
      </c>
      <c r="E31" s="112" t="s">
        <v>789</v>
      </c>
      <c r="F31" s="68" t="s">
        <v>911</v>
      </c>
      <c r="G31" s="29" t="s">
        <v>1117</v>
      </c>
      <c r="H31" s="69" t="s">
        <v>1128</v>
      </c>
      <c r="I31" s="56" t="s">
        <v>1129</v>
      </c>
    </row>
    <row r="32" spans="1:9" ht="30" x14ac:dyDescent="0.25">
      <c r="A32" s="111">
        <v>22</v>
      </c>
      <c r="B32" s="112" t="s">
        <v>5</v>
      </c>
      <c r="C32" s="112" t="s">
        <v>21</v>
      </c>
      <c r="D32" s="56" t="s">
        <v>664</v>
      </c>
      <c r="E32" s="112" t="s">
        <v>798</v>
      </c>
      <c r="F32" s="68" t="s">
        <v>911</v>
      </c>
      <c r="G32" s="29" t="s">
        <v>1130</v>
      </c>
      <c r="H32" s="69" t="s">
        <v>1133</v>
      </c>
      <c r="I32" s="56" t="s">
        <v>1134</v>
      </c>
    </row>
    <row r="33" spans="1:9" x14ac:dyDescent="0.25">
      <c r="A33" s="111">
        <v>23</v>
      </c>
      <c r="B33" s="112" t="s">
        <v>5</v>
      </c>
      <c r="C33" s="112" t="s">
        <v>31</v>
      </c>
      <c r="D33" s="56" t="s">
        <v>665</v>
      </c>
      <c r="E33" s="112" t="s">
        <v>756</v>
      </c>
      <c r="F33" s="68" t="s">
        <v>362</v>
      </c>
      <c r="G33" s="29" t="s">
        <v>951</v>
      </c>
      <c r="H33" s="69" t="s">
        <v>1013</v>
      </c>
      <c r="I33" s="56" t="s">
        <v>1021</v>
      </c>
    </row>
    <row r="34" spans="1:9" x14ac:dyDescent="0.25">
      <c r="A34" s="111">
        <v>23</v>
      </c>
      <c r="B34" s="112" t="s">
        <v>5</v>
      </c>
      <c r="C34" s="112" t="s">
        <v>31</v>
      </c>
      <c r="D34" s="56" t="s">
        <v>665</v>
      </c>
      <c r="E34" s="112" t="s">
        <v>757</v>
      </c>
      <c r="F34" s="68" t="s">
        <v>362</v>
      </c>
      <c r="G34" s="29" t="s">
        <v>951</v>
      </c>
      <c r="H34" s="69" t="s">
        <v>1015</v>
      </c>
      <c r="I34" s="56" t="s">
        <v>1022</v>
      </c>
    </row>
    <row r="35" spans="1:9" x14ac:dyDescent="0.25">
      <c r="A35" s="111">
        <v>23</v>
      </c>
      <c r="B35" s="112" t="s">
        <v>5</v>
      </c>
      <c r="C35" s="112" t="s">
        <v>31</v>
      </c>
      <c r="D35" s="56" t="s">
        <v>665</v>
      </c>
      <c r="E35" s="112" t="s">
        <v>758</v>
      </c>
      <c r="F35" s="68" t="s">
        <v>362</v>
      </c>
      <c r="G35" s="29" t="s">
        <v>951</v>
      </c>
      <c r="H35" s="69" t="s">
        <v>1014</v>
      </c>
      <c r="I35" s="56" t="s">
        <v>1023</v>
      </c>
    </row>
    <row r="36" spans="1:9" x14ac:dyDescent="0.25">
      <c r="A36" s="111">
        <v>23</v>
      </c>
      <c r="B36" s="112" t="s">
        <v>5</v>
      </c>
      <c r="C36" s="112" t="s">
        <v>31</v>
      </c>
      <c r="D36" s="56" t="s">
        <v>665</v>
      </c>
      <c r="E36" s="112" t="s">
        <v>759</v>
      </c>
      <c r="F36" s="68" t="s">
        <v>362</v>
      </c>
      <c r="G36" s="29" t="s">
        <v>951</v>
      </c>
      <c r="H36" s="69" t="s">
        <v>1016</v>
      </c>
      <c r="I36" s="56" t="s">
        <v>1024</v>
      </c>
    </row>
    <row r="37" spans="1:9" x14ac:dyDescent="0.25">
      <c r="A37" s="111">
        <v>23</v>
      </c>
      <c r="B37" s="112" t="s">
        <v>5</v>
      </c>
      <c r="C37" s="112" t="s">
        <v>31</v>
      </c>
      <c r="D37" s="56" t="s">
        <v>665</v>
      </c>
      <c r="E37" s="112" t="s">
        <v>760</v>
      </c>
      <c r="F37" s="68" t="s">
        <v>362</v>
      </c>
      <c r="G37" s="29" t="s">
        <v>951</v>
      </c>
      <c r="H37" s="69" t="s">
        <v>1037</v>
      </c>
      <c r="I37" s="56" t="s">
        <v>1038</v>
      </c>
    </row>
    <row r="38" spans="1:9" x14ac:dyDescent="0.25">
      <c r="A38" s="111">
        <v>23</v>
      </c>
      <c r="B38" s="112" t="s">
        <v>5</v>
      </c>
      <c r="C38" s="112" t="s">
        <v>31</v>
      </c>
      <c r="D38" s="56" t="s">
        <v>665</v>
      </c>
      <c r="E38" s="112" t="s">
        <v>761</v>
      </c>
      <c r="F38" s="68" t="s">
        <v>362</v>
      </c>
      <c r="G38" s="29" t="s">
        <v>951</v>
      </c>
      <c r="H38" s="69" t="s">
        <v>1040</v>
      </c>
      <c r="I38" s="56" t="s">
        <v>1039</v>
      </c>
    </row>
    <row r="39" spans="1:9" x14ac:dyDescent="0.25">
      <c r="A39" s="111">
        <v>23</v>
      </c>
      <c r="B39" s="112" t="s">
        <v>5</v>
      </c>
      <c r="C39" s="112" t="s">
        <v>31</v>
      </c>
      <c r="D39" s="56" t="s">
        <v>665</v>
      </c>
      <c r="E39" s="112" t="s">
        <v>762</v>
      </c>
      <c r="F39" s="68" t="s">
        <v>362</v>
      </c>
      <c r="G39" s="29" t="s">
        <v>951</v>
      </c>
      <c r="H39" s="69" t="s">
        <v>1042</v>
      </c>
      <c r="I39" s="56" t="s">
        <v>1043</v>
      </c>
    </row>
    <row r="40" spans="1:9" x14ac:dyDescent="0.25">
      <c r="A40" s="111">
        <v>23</v>
      </c>
      <c r="B40" s="112" t="s">
        <v>5</v>
      </c>
      <c r="C40" s="112" t="s">
        <v>31</v>
      </c>
      <c r="D40" s="56" t="s">
        <v>665</v>
      </c>
      <c r="E40" s="112" t="s">
        <v>763</v>
      </c>
      <c r="F40" s="68" t="s">
        <v>362</v>
      </c>
      <c r="G40" s="29" t="s">
        <v>951</v>
      </c>
      <c r="H40" s="69" t="s">
        <v>1041</v>
      </c>
      <c r="I40" s="56" t="s">
        <v>1044</v>
      </c>
    </row>
    <row r="41" spans="1:9" x14ac:dyDescent="0.25">
      <c r="A41" s="111">
        <v>23</v>
      </c>
      <c r="B41" s="112" t="s">
        <v>5</v>
      </c>
      <c r="C41" s="112" t="s">
        <v>31</v>
      </c>
      <c r="D41" s="56" t="s">
        <v>665</v>
      </c>
      <c r="E41" s="112" t="s">
        <v>917</v>
      </c>
      <c r="F41" s="68" t="s">
        <v>911</v>
      </c>
      <c r="G41" s="29" t="s">
        <v>1115</v>
      </c>
      <c r="H41" s="69" t="s">
        <v>1152</v>
      </c>
      <c r="I41" s="56" t="s">
        <v>1153</v>
      </c>
    </row>
    <row r="42" spans="1:9" x14ac:dyDescent="0.25">
      <c r="A42" s="111">
        <v>23</v>
      </c>
      <c r="B42" s="112" t="s">
        <v>5</v>
      </c>
      <c r="C42" s="112" t="s">
        <v>31</v>
      </c>
      <c r="D42" s="56" t="s">
        <v>665</v>
      </c>
      <c r="E42" s="112" t="s">
        <v>918</v>
      </c>
      <c r="F42" s="68" t="s">
        <v>911</v>
      </c>
      <c r="G42" s="29" t="s">
        <v>1116</v>
      </c>
      <c r="H42" s="69" t="s">
        <v>1152</v>
      </c>
      <c r="I42" s="56" t="s">
        <v>1154</v>
      </c>
    </row>
    <row r="43" spans="1:9" ht="30" x14ac:dyDescent="0.25">
      <c r="A43" s="111">
        <v>24</v>
      </c>
      <c r="B43" s="112" t="s">
        <v>5</v>
      </c>
      <c r="C43" s="112" t="s">
        <v>22</v>
      </c>
      <c r="D43" s="56" t="s">
        <v>667</v>
      </c>
      <c r="E43" s="112" t="s">
        <v>922</v>
      </c>
      <c r="F43" s="68" t="s">
        <v>362</v>
      </c>
      <c r="G43" s="29" t="s">
        <v>1088</v>
      </c>
      <c r="H43" s="69" t="s">
        <v>1155</v>
      </c>
      <c r="I43" s="56" t="s">
        <v>1161</v>
      </c>
    </row>
    <row r="44" spans="1:9" ht="30" x14ac:dyDescent="0.25">
      <c r="A44" s="111">
        <v>24</v>
      </c>
      <c r="B44" s="112" t="s">
        <v>5</v>
      </c>
      <c r="C44" s="112" t="s">
        <v>22</v>
      </c>
      <c r="D44" s="56" t="s">
        <v>667</v>
      </c>
      <c r="E44" s="112" t="s">
        <v>923</v>
      </c>
      <c r="F44" s="68" t="s">
        <v>362</v>
      </c>
      <c r="G44" s="29" t="s">
        <v>1088</v>
      </c>
      <c r="H44" s="69" t="s">
        <v>1156</v>
      </c>
      <c r="I44" s="56" t="s">
        <v>1162</v>
      </c>
    </row>
    <row r="45" spans="1:9" ht="30" x14ac:dyDescent="0.25">
      <c r="A45" s="111">
        <v>24</v>
      </c>
      <c r="B45" s="112" t="s">
        <v>5</v>
      </c>
      <c r="C45" s="112" t="s">
        <v>22</v>
      </c>
      <c r="D45" s="56" t="s">
        <v>667</v>
      </c>
      <c r="E45" s="112" t="s">
        <v>924</v>
      </c>
      <c r="F45" s="68" t="s">
        <v>362</v>
      </c>
      <c r="G45" s="29" t="s">
        <v>1088</v>
      </c>
      <c r="H45" s="69" t="s">
        <v>1157</v>
      </c>
      <c r="I45" s="56" t="s">
        <v>1160</v>
      </c>
    </row>
    <row r="46" spans="1:9" ht="30" x14ac:dyDescent="0.25">
      <c r="A46" s="111">
        <v>24</v>
      </c>
      <c r="B46" s="112" t="s">
        <v>5</v>
      </c>
      <c r="C46" s="112" t="s">
        <v>22</v>
      </c>
      <c r="D46" s="56" t="s">
        <v>667</v>
      </c>
      <c r="E46" s="112" t="s">
        <v>925</v>
      </c>
      <c r="F46" s="68" t="s">
        <v>362</v>
      </c>
      <c r="G46" s="29" t="s">
        <v>1088</v>
      </c>
      <c r="H46" s="69" t="s">
        <v>1158</v>
      </c>
      <c r="I46" s="56" t="s">
        <v>1159</v>
      </c>
    </row>
    <row r="47" spans="1:9" ht="75" x14ac:dyDescent="0.25">
      <c r="A47" s="111">
        <v>24</v>
      </c>
      <c r="B47" s="112" t="s">
        <v>5</v>
      </c>
      <c r="C47" s="112" t="s">
        <v>22</v>
      </c>
      <c r="D47" s="56" t="s">
        <v>667</v>
      </c>
      <c r="E47" s="112" t="s">
        <v>926</v>
      </c>
      <c r="F47" s="68" t="s">
        <v>911</v>
      </c>
      <c r="G47" s="29" t="s">
        <v>1150</v>
      </c>
      <c r="H47" s="69" t="s">
        <v>1132</v>
      </c>
      <c r="I47" s="56" t="s">
        <v>1163</v>
      </c>
    </row>
    <row r="48" spans="1:9" ht="75" x14ac:dyDescent="0.25">
      <c r="A48" s="111">
        <v>24</v>
      </c>
      <c r="B48" s="112" t="s">
        <v>5</v>
      </c>
      <c r="C48" s="112" t="s">
        <v>22</v>
      </c>
      <c r="D48" s="56" t="s">
        <v>667</v>
      </c>
      <c r="E48" s="112" t="s">
        <v>927</v>
      </c>
      <c r="F48" s="68" t="s">
        <v>911</v>
      </c>
      <c r="G48" s="29" t="s">
        <v>1151</v>
      </c>
      <c r="H48" s="69" t="s">
        <v>1132</v>
      </c>
      <c r="I48" s="56" t="s">
        <v>1164</v>
      </c>
    </row>
    <row r="49" spans="1:9" ht="75" x14ac:dyDescent="0.25">
      <c r="A49" s="111">
        <v>24</v>
      </c>
      <c r="B49" s="112" t="s">
        <v>5</v>
      </c>
      <c r="C49" s="112" t="s">
        <v>22</v>
      </c>
      <c r="D49" s="56" t="s">
        <v>667</v>
      </c>
      <c r="E49" s="112" t="s">
        <v>928</v>
      </c>
      <c r="F49" s="68" t="s">
        <v>911</v>
      </c>
      <c r="G49" s="29" t="s">
        <v>1131</v>
      </c>
      <c r="H49" s="69" t="s">
        <v>1132</v>
      </c>
      <c r="I49" s="56" t="s">
        <v>1165</v>
      </c>
    </row>
    <row r="50" spans="1:9" ht="60" x14ac:dyDescent="0.25">
      <c r="A50" s="111">
        <v>41</v>
      </c>
      <c r="B50" s="112" t="s">
        <v>41</v>
      </c>
      <c r="C50" s="112" t="s">
        <v>462</v>
      </c>
      <c r="D50" s="56" t="s">
        <v>821</v>
      </c>
      <c r="E50" s="112" t="s">
        <v>929</v>
      </c>
      <c r="F50" s="68" t="s">
        <v>911</v>
      </c>
      <c r="G50" s="29" t="s">
        <v>1088</v>
      </c>
      <c r="H50" s="69" t="s">
        <v>1170</v>
      </c>
      <c r="I50" s="56" t="s">
        <v>1172</v>
      </c>
    </row>
    <row r="51" spans="1:9" ht="60" x14ac:dyDescent="0.25">
      <c r="A51" s="111">
        <v>41</v>
      </c>
      <c r="B51" s="112" t="s">
        <v>41</v>
      </c>
      <c r="C51" s="112" t="s">
        <v>462</v>
      </c>
      <c r="D51" s="56" t="s">
        <v>821</v>
      </c>
      <c r="E51" s="112" t="s">
        <v>930</v>
      </c>
      <c r="F51" s="68" t="s">
        <v>911</v>
      </c>
      <c r="G51" s="29" t="s">
        <v>1088</v>
      </c>
      <c r="H51" s="69" t="s">
        <v>1171</v>
      </c>
      <c r="I51" s="56" t="s">
        <v>1173</v>
      </c>
    </row>
    <row r="52" spans="1:9" x14ac:dyDescent="0.25">
      <c r="A52" s="111">
        <v>45</v>
      </c>
      <c r="B52" s="112" t="s">
        <v>137</v>
      </c>
      <c r="C52" s="112">
        <v>2910386</v>
      </c>
      <c r="D52" s="56" t="s">
        <v>836</v>
      </c>
      <c r="E52" s="112" t="s">
        <v>467</v>
      </c>
      <c r="F52" s="68" t="s">
        <v>360</v>
      </c>
      <c r="G52" s="29" t="s">
        <v>946</v>
      </c>
      <c r="H52" s="69" t="s">
        <v>959</v>
      </c>
      <c r="I52" s="56" t="s">
        <v>1174</v>
      </c>
    </row>
    <row r="53" spans="1:9" ht="45" x14ac:dyDescent="0.25">
      <c r="A53" s="111">
        <v>46</v>
      </c>
      <c r="B53" s="112" t="s">
        <v>137</v>
      </c>
      <c r="C53" s="112">
        <v>2905743</v>
      </c>
      <c r="D53" s="56" t="s">
        <v>1166</v>
      </c>
      <c r="E53" s="112" t="s">
        <v>731</v>
      </c>
      <c r="F53" s="68" t="s">
        <v>360</v>
      </c>
      <c r="G53" s="29" t="s">
        <v>946</v>
      </c>
      <c r="H53" s="69" t="s">
        <v>981</v>
      </c>
      <c r="I53" s="56" t="s">
        <v>991</v>
      </c>
    </row>
    <row r="54" spans="1:9" ht="45" x14ac:dyDescent="0.25">
      <c r="A54" s="111">
        <v>46</v>
      </c>
      <c r="B54" s="112" t="s">
        <v>137</v>
      </c>
      <c r="C54" s="112">
        <v>2905743</v>
      </c>
      <c r="D54" s="56" t="s">
        <v>1166</v>
      </c>
      <c r="E54" s="112" t="s">
        <v>732</v>
      </c>
      <c r="F54" s="68" t="s">
        <v>360</v>
      </c>
      <c r="G54" s="29" t="s">
        <v>946</v>
      </c>
      <c r="H54" s="69" t="s">
        <v>982</v>
      </c>
      <c r="I54" s="56" t="s">
        <v>991</v>
      </c>
    </row>
    <row r="55" spans="1:9" ht="45" x14ac:dyDescent="0.25">
      <c r="A55" s="111">
        <v>46</v>
      </c>
      <c r="B55" s="112" t="s">
        <v>137</v>
      </c>
      <c r="C55" s="112">
        <v>2905743</v>
      </c>
      <c r="D55" s="56" t="s">
        <v>1167</v>
      </c>
      <c r="E55" s="112" t="s">
        <v>733</v>
      </c>
      <c r="F55" s="68" t="s">
        <v>362</v>
      </c>
      <c r="G55" s="29" t="s">
        <v>951</v>
      </c>
      <c r="H55" s="69" t="s">
        <v>983</v>
      </c>
      <c r="I55" s="56" t="s">
        <v>991</v>
      </c>
    </row>
    <row r="56" spans="1:9" ht="45" x14ac:dyDescent="0.25">
      <c r="A56" s="111">
        <v>46</v>
      </c>
      <c r="B56" s="112" t="s">
        <v>137</v>
      </c>
      <c r="C56" s="112">
        <v>2905743</v>
      </c>
      <c r="D56" s="56" t="s">
        <v>1167</v>
      </c>
      <c r="E56" s="112" t="s">
        <v>734</v>
      </c>
      <c r="F56" s="68" t="s">
        <v>362</v>
      </c>
      <c r="G56" s="29" t="s">
        <v>951</v>
      </c>
      <c r="H56" s="69" t="s">
        <v>1079</v>
      </c>
      <c r="I56" s="56" t="s">
        <v>991</v>
      </c>
    </row>
    <row r="57" spans="1:9" ht="45" x14ac:dyDescent="0.25">
      <c r="A57" s="111">
        <v>46</v>
      </c>
      <c r="B57" s="112" t="s">
        <v>137</v>
      </c>
      <c r="C57" s="112">
        <v>2905743</v>
      </c>
      <c r="D57" s="56" t="s">
        <v>1167</v>
      </c>
      <c r="E57" s="112" t="s">
        <v>736</v>
      </c>
      <c r="F57" s="68" t="s">
        <v>362</v>
      </c>
      <c r="G57" s="29" t="s">
        <v>951</v>
      </c>
      <c r="H57" s="69" t="s">
        <v>1080</v>
      </c>
      <c r="I57" s="56" t="s">
        <v>991</v>
      </c>
    </row>
    <row r="58" spans="1:9" ht="45" x14ac:dyDescent="0.25">
      <c r="A58" s="111">
        <v>46</v>
      </c>
      <c r="B58" s="112" t="s">
        <v>137</v>
      </c>
      <c r="C58" s="112">
        <v>2905743</v>
      </c>
      <c r="D58" s="56" t="s">
        <v>1167</v>
      </c>
      <c r="E58" s="112" t="s">
        <v>737</v>
      </c>
      <c r="F58" s="68" t="s">
        <v>362</v>
      </c>
      <c r="G58" s="29" t="s">
        <v>951</v>
      </c>
      <c r="H58" s="69" t="s">
        <v>1081</v>
      </c>
      <c r="I58" s="56" t="s">
        <v>991</v>
      </c>
    </row>
    <row r="59" spans="1:9" ht="45" x14ac:dyDescent="0.25">
      <c r="A59" s="111">
        <v>46</v>
      </c>
      <c r="B59" s="112" t="s">
        <v>137</v>
      </c>
      <c r="C59" s="112">
        <v>2905743</v>
      </c>
      <c r="D59" s="56" t="s">
        <v>1169</v>
      </c>
      <c r="E59" s="112" t="s">
        <v>738</v>
      </c>
      <c r="F59" s="68" t="s">
        <v>911</v>
      </c>
      <c r="G59" s="29" t="s">
        <v>978</v>
      </c>
      <c r="H59" s="69" t="s">
        <v>1138</v>
      </c>
      <c r="I59" s="56" t="s">
        <v>991</v>
      </c>
    </row>
    <row r="60" spans="1:9" ht="45" x14ac:dyDescent="0.25">
      <c r="A60" s="111">
        <v>46</v>
      </c>
      <c r="B60" s="112" t="s">
        <v>137</v>
      </c>
      <c r="C60" s="112">
        <v>2905743</v>
      </c>
      <c r="D60" s="56" t="s">
        <v>1169</v>
      </c>
      <c r="E60" s="112" t="s">
        <v>739</v>
      </c>
      <c r="F60" s="68" t="s">
        <v>911</v>
      </c>
      <c r="G60" s="29" t="s">
        <v>978</v>
      </c>
      <c r="H60" s="69" t="s">
        <v>1139</v>
      </c>
      <c r="I60" s="56" t="s">
        <v>991</v>
      </c>
    </row>
    <row r="61" spans="1:9" ht="45" x14ac:dyDescent="0.25">
      <c r="A61" s="111">
        <v>46</v>
      </c>
      <c r="B61" s="112" t="s">
        <v>137</v>
      </c>
      <c r="C61" s="112">
        <v>2905743</v>
      </c>
      <c r="D61" s="56" t="s">
        <v>1168</v>
      </c>
      <c r="E61" s="112" t="s">
        <v>735</v>
      </c>
      <c r="F61" s="68" t="s">
        <v>361</v>
      </c>
      <c r="G61" s="29" t="s">
        <v>952</v>
      </c>
      <c r="H61" s="69" t="s">
        <v>984</v>
      </c>
      <c r="I61" s="56" t="s">
        <v>991</v>
      </c>
    </row>
    <row r="62" spans="1:9" x14ac:dyDescent="0.25">
      <c r="A62" s="111">
        <v>68</v>
      </c>
      <c r="B62" s="112" t="s">
        <v>14</v>
      </c>
      <c r="C62" s="112" t="s">
        <v>489</v>
      </c>
      <c r="D62" s="56" t="s">
        <v>839</v>
      </c>
      <c r="E62" s="112" t="s">
        <v>742</v>
      </c>
      <c r="F62" s="68" t="s">
        <v>911</v>
      </c>
      <c r="G62" s="29" t="s">
        <v>1115</v>
      </c>
      <c r="H62" s="69" t="s">
        <v>960</v>
      </c>
      <c r="I62" s="56" t="s">
        <v>1136</v>
      </c>
    </row>
    <row r="63" spans="1:9" x14ac:dyDescent="0.25">
      <c r="A63" s="111">
        <v>68</v>
      </c>
      <c r="B63" s="112" t="s">
        <v>14</v>
      </c>
      <c r="C63" s="112" t="s">
        <v>489</v>
      </c>
      <c r="D63" s="56" t="s">
        <v>839</v>
      </c>
      <c r="E63" s="112" t="s">
        <v>743</v>
      </c>
      <c r="F63" s="68" t="s">
        <v>911</v>
      </c>
      <c r="G63" s="29" t="s">
        <v>1116</v>
      </c>
      <c r="H63" s="69" t="s">
        <v>960</v>
      </c>
      <c r="I63" s="56" t="s">
        <v>1137</v>
      </c>
    </row>
    <row r="64" spans="1:9" x14ac:dyDescent="0.25">
      <c r="A64" s="111">
        <v>74</v>
      </c>
      <c r="B64" s="112" t="s">
        <v>14</v>
      </c>
      <c r="C64" s="112" t="s">
        <v>497</v>
      </c>
      <c r="D64" s="56" t="s">
        <v>838</v>
      </c>
      <c r="E64" s="112" t="s">
        <v>498</v>
      </c>
      <c r="F64" s="68" t="s">
        <v>911</v>
      </c>
      <c r="G64" s="29" t="s">
        <v>1117</v>
      </c>
      <c r="H64" s="69" t="s">
        <v>960</v>
      </c>
      <c r="I64" s="56" t="s">
        <v>1135</v>
      </c>
    </row>
    <row r="65" spans="1:9" x14ac:dyDescent="0.25">
      <c r="A65" s="111">
        <v>77</v>
      </c>
      <c r="B65" s="112" t="s">
        <v>14</v>
      </c>
      <c r="C65" s="112" t="s">
        <v>502</v>
      </c>
      <c r="D65" s="56" t="s">
        <v>1143</v>
      </c>
      <c r="E65" s="112" t="s">
        <v>740</v>
      </c>
      <c r="F65" s="68" t="s">
        <v>360</v>
      </c>
      <c r="G65" s="29" t="s">
        <v>976</v>
      </c>
      <c r="H65" s="69" t="s">
        <v>960</v>
      </c>
      <c r="I65" s="56" t="s">
        <v>1145</v>
      </c>
    </row>
    <row r="66" spans="1:9" x14ac:dyDescent="0.25">
      <c r="A66" s="111">
        <v>77</v>
      </c>
      <c r="B66" s="112" t="s">
        <v>14</v>
      </c>
      <c r="C66" s="112" t="s">
        <v>502</v>
      </c>
      <c r="D66" s="56" t="s">
        <v>1144</v>
      </c>
      <c r="E66" s="112" t="s">
        <v>741</v>
      </c>
      <c r="F66" s="68" t="s">
        <v>360</v>
      </c>
      <c r="G66" s="29" t="s">
        <v>977</v>
      </c>
      <c r="H66" s="69" t="s">
        <v>960</v>
      </c>
      <c r="I66" s="56" t="s">
        <v>1146</v>
      </c>
    </row>
    <row r="67" spans="1:9" ht="30" x14ac:dyDescent="0.25">
      <c r="A67" s="111">
        <v>77</v>
      </c>
      <c r="B67" s="112" t="s">
        <v>14</v>
      </c>
      <c r="C67" s="112" t="s">
        <v>502</v>
      </c>
      <c r="D67" s="56" t="s">
        <v>1142</v>
      </c>
      <c r="E67" s="112" t="s">
        <v>744</v>
      </c>
      <c r="F67" s="68" t="s">
        <v>911</v>
      </c>
      <c r="G67" s="29" t="s">
        <v>978</v>
      </c>
      <c r="H67" s="69" t="s">
        <v>1149</v>
      </c>
      <c r="I67" s="56" t="s">
        <v>1148</v>
      </c>
    </row>
    <row r="68" spans="1:9" x14ac:dyDescent="0.25">
      <c r="A68" s="111">
        <v>77</v>
      </c>
      <c r="B68" s="112" t="s">
        <v>14</v>
      </c>
      <c r="C68" s="112" t="s">
        <v>502</v>
      </c>
      <c r="D68" s="56" t="s">
        <v>1141</v>
      </c>
      <c r="E68" s="112" t="s">
        <v>745</v>
      </c>
      <c r="F68" s="68" t="s">
        <v>911</v>
      </c>
      <c r="G68" s="29" t="s">
        <v>979</v>
      </c>
      <c r="H68" s="69" t="s">
        <v>960</v>
      </c>
      <c r="I68" s="56" t="s">
        <v>1147</v>
      </c>
    </row>
    <row r="69" spans="1:9" ht="75" x14ac:dyDescent="0.25">
      <c r="A69" s="111">
        <v>98</v>
      </c>
      <c r="B69" s="112" t="s">
        <v>14</v>
      </c>
      <c r="C69" s="112" t="s">
        <v>535</v>
      </c>
      <c r="D69" s="56" t="s">
        <v>964</v>
      </c>
      <c r="E69" s="112" t="s">
        <v>764</v>
      </c>
      <c r="F69" s="68" t="s">
        <v>360</v>
      </c>
      <c r="G69" s="29" t="s">
        <v>946</v>
      </c>
      <c r="H69" s="69" t="s">
        <v>990</v>
      </c>
      <c r="I69" s="56" t="s">
        <v>992</v>
      </c>
    </row>
    <row r="70" spans="1:9" ht="75" x14ac:dyDescent="0.25">
      <c r="A70" s="111">
        <v>98</v>
      </c>
      <c r="B70" s="112" t="s">
        <v>14</v>
      </c>
      <c r="C70" s="112" t="s">
        <v>535</v>
      </c>
      <c r="D70" s="56" t="s">
        <v>964</v>
      </c>
      <c r="E70" s="112" t="s">
        <v>765</v>
      </c>
      <c r="F70" s="68" t="s">
        <v>361</v>
      </c>
      <c r="G70" s="29" t="s">
        <v>952</v>
      </c>
      <c r="H70" s="69" t="s">
        <v>1000</v>
      </c>
      <c r="I70" s="56" t="s">
        <v>993</v>
      </c>
    </row>
    <row r="71" spans="1:9" ht="45" x14ac:dyDescent="0.25">
      <c r="A71" s="111">
        <v>99</v>
      </c>
      <c r="B71" s="112" t="s">
        <v>14</v>
      </c>
      <c r="C71" s="112" t="s">
        <v>536</v>
      </c>
      <c r="D71" s="56" t="s">
        <v>963</v>
      </c>
      <c r="E71" s="112" t="s">
        <v>85</v>
      </c>
      <c r="F71" s="68" t="s">
        <v>361</v>
      </c>
      <c r="G71" s="29" t="s">
        <v>952</v>
      </c>
      <c r="H71" s="69" t="s">
        <v>1001</v>
      </c>
      <c r="I71" s="56" t="s">
        <v>994</v>
      </c>
    </row>
    <row r="72" spans="1:9" ht="45" x14ac:dyDescent="0.25">
      <c r="A72" s="111">
        <v>100</v>
      </c>
      <c r="B72" s="112" t="s">
        <v>14</v>
      </c>
      <c r="C72" s="112" t="s">
        <v>537</v>
      </c>
      <c r="D72" s="56" t="s">
        <v>965</v>
      </c>
      <c r="E72" s="112" t="s">
        <v>83</v>
      </c>
      <c r="F72" s="68" t="s">
        <v>361</v>
      </c>
      <c r="G72" s="29" t="s">
        <v>952</v>
      </c>
      <c r="H72" s="69" t="s">
        <v>989</v>
      </c>
      <c r="I72" s="56" t="s">
        <v>995</v>
      </c>
    </row>
    <row r="73" spans="1:9" ht="30" x14ac:dyDescent="0.25">
      <c r="A73" s="111">
        <v>101</v>
      </c>
      <c r="B73" s="112" t="s">
        <v>14</v>
      </c>
      <c r="C73" s="112" t="s">
        <v>538</v>
      </c>
      <c r="D73" s="56" t="s">
        <v>996</v>
      </c>
      <c r="E73" s="112" t="s">
        <v>86</v>
      </c>
      <c r="F73" s="68" t="s">
        <v>361</v>
      </c>
      <c r="G73" s="29" t="s">
        <v>952</v>
      </c>
      <c r="H73" s="69" t="s">
        <v>1002</v>
      </c>
      <c r="I73" s="56" t="s">
        <v>998</v>
      </c>
    </row>
    <row r="74" spans="1:9" ht="30" x14ac:dyDescent="0.25">
      <c r="A74" s="111">
        <v>101</v>
      </c>
      <c r="B74" s="112" t="s">
        <v>14</v>
      </c>
      <c r="C74" s="112" t="s">
        <v>538</v>
      </c>
      <c r="D74" s="56" t="s">
        <v>997</v>
      </c>
      <c r="E74" s="112" t="s">
        <v>84</v>
      </c>
      <c r="F74" s="68" t="s">
        <v>361</v>
      </c>
      <c r="G74" s="29" t="s">
        <v>952</v>
      </c>
      <c r="H74" s="69" t="s">
        <v>1003</v>
      </c>
      <c r="I74" s="56" t="s">
        <v>999</v>
      </c>
    </row>
    <row r="75" spans="1:9" x14ac:dyDescent="0.25">
      <c r="A75" s="111">
        <v>109</v>
      </c>
      <c r="B75" s="112" t="s">
        <v>14</v>
      </c>
      <c r="C75" s="112" t="s">
        <v>548</v>
      </c>
      <c r="D75" s="56" t="s">
        <v>988</v>
      </c>
      <c r="E75" s="112" t="s">
        <v>768</v>
      </c>
      <c r="F75" s="68" t="s">
        <v>360</v>
      </c>
      <c r="G75" s="29" t="s">
        <v>946</v>
      </c>
      <c r="H75" s="69" t="s">
        <v>985</v>
      </c>
      <c r="I75" s="56" t="s">
        <v>1075</v>
      </c>
    </row>
    <row r="76" spans="1:9" x14ac:dyDescent="0.25">
      <c r="A76" s="111">
        <v>109</v>
      </c>
      <c r="B76" s="112" t="s">
        <v>14</v>
      </c>
      <c r="C76" s="112" t="s">
        <v>548</v>
      </c>
      <c r="D76" s="56" t="s">
        <v>988</v>
      </c>
      <c r="E76" s="112" t="s">
        <v>769</v>
      </c>
      <c r="F76" s="68" t="s">
        <v>360</v>
      </c>
      <c r="G76" s="29" t="s">
        <v>946</v>
      </c>
      <c r="H76" s="69" t="s">
        <v>986</v>
      </c>
      <c r="I76" s="56" t="s">
        <v>1076</v>
      </c>
    </row>
    <row r="77" spans="1:9" ht="30" x14ac:dyDescent="0.25">
      <c r="A77" s="111">
        <v>109</v>
      </c>
      <c r="B77" s="112" t="s">
        <v>14</v>
      </c>
      <c r="C77" s="112" t="s">
        <v>548</v>
      </c>
      <c r="D77" s="56" t="s">
        <v>987</v>
      </c>
      <c r="E77" s="112" t="s">
        <v>766</v>
      </c>
      <c r="F77" s="68" t="s">
        <v>1089</v>
      </c>
      <c r="G77" s="29" t="s">
        <v>1090</v>
      </c>
      <c r="H77" s="69" t="s">
        <v>1091</v>
      </c>
      <c r="I77" s="56" t="s">
        <v>1094</v>
      </c>
    </row>
    <row r="78" spans="1:9" ht="30" x14ac:dyDescent="0.25">
      <c r="A78" s="111">
        <v>109</v>
      </c>
      <c r="B78" s="112" t="s">
        <v>14</v>
      </c>
      <c r="C78" s="112" t="s">
        <v>548</v>
      </c>
      <c r="D78" s="56" t="s">
        <v>987</v>
      </c>
      <c r="E78" s="112" t="s">
        <v>767</v>
      </c>
      <c r="F78" s="68" t="s">
        <v>1089</v>
      </c>
      <c r="G78" s="29" t="s">
        <v>1090</v>
      </c>
      <c r="H78" s="69" t="s">
        <v>1092</v>
      </c>
      <c r="I78" s="56" t="s">
        <v>1093</v>
      </c>
    </row>
    <row r="79" spans="1:9" x14ac:dyDescent="0.25">
      <c r="A79" s="111">
        <v>112</v>
      </c>
      <c r="B79" s="112" t="s">
        <v>14</v>
      </c>
      <c r="C79" s="112" t="s">
        <v>553</v>
      </c>
      <c r="D79" s="56" t="s">
        <v>892</v>
      </c>
      <c r="E79" s="112" t="s">
        <v>935</v>
      </c>
      <c r="F79" s="68" t="s">
        <v>362</v>
      </c>
      <c r="G79" s="29" t="s">
        <v>951</v>
      </c>
      <c r="H79" s="69" t="s">
        <v>1055</v>
      </c>
      <c r="I79" s="56" t="s">
        <v>1067</v>
      </c>
    </row>
    <row r="80" spans="1:9" x14ac:dyDescent="0.25">
      <c r="A80" s="111">
        <v>112</v>
      </c>
      <c r="B80" s="112" t="s">
        <v>14</v>
      </c>
      <c r="C80" s="112" t="s">
        <v>553</v>
      </c>
      <c r="D80" s="56" t="s">
        <v>892</v>
      </c>
      <c r="E80" s="112" t="s">
        <v>936</v>
      </c>
      <c r="F80" s="68" t="s">
        <v>362</v>
      </c>
      <c r="G80" s="29" t="s">
        <v>951</v>
      </c>
      <c r="H80" s="69" t="s">
        <v>1056</v>
      </c>
      <c r="I80" s="56" t="s">
        <v>1068</v>
      </c>
    </row>
    <row r="81" spans="1:9" x14ac:dyDescent="0.25">
      <c r="A81" s="111">
        <v>112</v>
      </c>
      <c r="B81" s="112" t="s">
        <v>14</v>
      </c>
      <c r="C81" s="112" t="s">
        <v>553</v>
      </c>
      <c r="D81" s="56" t="s">
        <v>892</v>
      </c>
      <c r="E81" s="112" t="s">
        <v>937</v>
      </c>
      <c r="F81" s="68" t="s">
        <v>362</v>
      </c>
      <c r="G81" s="29" t="s">
        <v>951</v>
      </c>
      <c r="H81" s="69" t="s">
        <v>1057</v>
      </c>
      <c r="I81" s="56" t="s">
        <v>1069</v>
      </c>
    </row>
    <row r="82" spans="1:9" x14ac:dyDescent="0.25">
      <c r="A82" s="111">
        <v>112</v>
      </c>
      <c r="B82" s="112" t="s">
        <v>14</v>
      </c>
      <c r="C82" s="112" t="s">
        <v>553</v>
      </c>
      <c r="D82" s="56" t="s">
        <v>892</v>
      </c>
      <c r="E82" s="112" t="s">
        <v>938</v>
      </c>
      <c r="F82" s="68" t="s">
        <v>362</v>
      </c>
      <c r="G82" s="29" t="s">
        <v>951</v>
      </c>
      <c r="H82" s="69" t="s">
        <v>1058</v>
      </c>
      <c r="I82" s="56" t="s">
        <v>1070</v>
      </c>
    </row>
    <row r="83" spans="1:9" x14ac:dyDescent="0.25">
      <c r="A83" s="111">
        <v>112</v>
      </c>
      <c r="B83" s="112" t="s">
        <v>14</v>
      </c>
      <c r="C83" s="112" t="s">
        <v>553</v>
      </c>
      <c r="D83" s="56" t="s">
        <v>892</v>
      </c>
      <c r="E83" s="112" t="s">
        <v>939</v>
      </c>
      <c r="F83" s="68" t="s">
        <v>362</v>
      </c>
      <c r="G83" s="29" t="s">
        <v>951</v>
      </c>
      <c r="H83" s="69" t="s">
        <v>1059</v>
      </c>
      <c r="I83" s="56" t="s">
        <v>1071</v>
      </c>
    </row>
    <row r="84" spans="1:9" x14ac:dyDescent="0.25">
      <c r="A84" s="111">
        <v>112</v>
      </c>
      <c r="B84" s="112" t="s">
        <v>14</v>
      </c>
      <c r="C84" s="112" t="s">
        <v>553</v>
      </c>
      <c r="D84" s="56" t="s">
        <v>892</v>
      </c>
      <c r="E84" s="112" t="s">
        <v>940</v>
      </c>
      <c r="F84" s="68" t="s">
        <v>362</v>
      </c>
      <c r="G84" s="29" t="s">
        <v>951</v>
      </c>
      <c r="H84" s="69" t="s">
        <v>1060</v>
      </c>
      <c r="I84" s="56" t="s">
        <v>1072</v>
      </c>
    </row>
    <row r="85" spans="1:9" x14ac:dyDescent="0.25">
      <c r="A85" s="111">
        <v>112</v>
      </c>
      <c r="B85" s="112" t="s">
        <v>14</v>
      </c>
      <c r="C85" s="112" t="s">
        <v>553</v>
      </c>
      <c r="D85" s="56" t="s">
        <v>892</v>
      </c>
      <c r="E85" s="112" t="s">
        <v>941</v>
      </c>
      <c r="F85" s="68" t="s">
        <v>362</v>
      </c>
      <c r="G85" s="29" t="s">
        <v>951</v>
      </c>
      <c r="H85" s="69" t="s">
        <v>1061</v>
      </c>
      <c r="I85" s="56" t="s">
        <v>1073</v>
      </c>
    </row>
    <row r="86" spans="1:9" x14ac:dyDescent="0.25">
      <c r="A86" s="111">
        <v>112</v>
      </c>
      <c r="B86" s="112" t="s">
        <v>14</v>
      </c>
      <c r="C86" s="112" t="s">
        <v>553</v>
      </c>
      <c r="D86" s="56" t="s">
        <v>892</v>
      </c>
      <c r="E86" s="112" t="s">
        <v>942</v>
      </c>
      <c r="F86" s="68" t="s">
        <v>362</v>
      </c>
      <c r="G86" s="29" t="s">
        <v>951</v>
      </c>
      <c r="H86" s="69" t="s">
        <v>1062</v>
      </c>
      <c r="I86" s="56" t="s">
        <v>1074</v>
      </c>
    </row>
    <row r="87" spans="1:9" x14ac:dyDescent="0.25">
      <c r="A87" s="111">
        <v>112</v>
      </c>
      <c r="B87" s="112" t="s">
        <v>14</v>
      </c>
      <c r="C87" s="112" t="s">
        <v>553</v>
      </c>
      <c r="D87" s="56" t="s">
        <v>892</v>
      </c>
      <c r="E87" s="112" t="s">
        <v>931</v>
      </c>
      <c r="F87" s="68" t="s">
        <v>362</v>
      </c>
      <c r="G87" s="29" t="s">
        <v>951</v>
      </c>
      <c r="H87" s="69" t="s">
        <v>1051</v>
      </c>
      <c r="I87" s="56" t="s">
        <v>1063</v>
      </c>
    </row>
    <row r="88" spans="1:9" x14ac:dyDescent="0.25">
      <c r="A88" s="111">
        <v>112</v>
      </c>
      <c r="B88" s="112" t="s">
        <v>14</v>
      </c>
      <c r="C88" s="112" t="s">
        <v>553</v>
      </c>
      <c r="D88" s="56" t="s">
        <v>892</v>
      </c>
      <c r="E88" s="112" t="s">
        <v>932</v>
      </c>
      <c r="F88" s="68" t="s">
        <v>362</v>
      </c>
      <c r="G88" s="29" t="s">
        <v>951</v>
      </c>
      <c r="H88" s="69" t="s">
        <v>1052</v>
      </c>
      <c r="I88" s="56" t="s">
        <v>1064</v>
      </c>
    </row>
    <row r="89" spans="1:9" x14ac:dyDescent="0.25">
      <c r="A89" s="111">
        <v>112</v>
      </c>
      <c r="B89" s="112" t="s">
        <v>14</v>
      </c>
      <c r="C89" s="112" t="s">
        <v>553</v>
      </c>
      <c r="D89" s="56" t="s">
        <v>892</v>
      </c>
      <c r="E89" s="112" t="s">
        <v>933</v>
      </c>
      <c r="F89" s="68" t="s">
        <v>362</v>
      </c>
      <c r="G89" s="29" t="s">
        <v>951</v>
      </c>
      <c r="H89" s="69" t="s">
        <v>1053</v>
      </c>
      <c r="I89" s="56" t="s">
        <v>1065</v>
      </c>
    </row>
    <row r="90" spans="1:9" x14ac:dyDescent="0.25">
      <c r="A90" s="111">
        <v>112</v>
      </c>
      <c r="B90" s="112" t="s">
        <v>14</v>
      </c>
      <c r="C90" s="112" t="s">
        <v>553</v>
      </c>
      <c r="D90" s="56" t="s">
        <v>892</v>
      </c>
      <c r="E90" s="112" t="s">
        <v>934</v>
      </c>
      <c r="F90" s="68" t="s">
        <v>362</v>
      </c>
      <c r="G90" s="29" t="s">
        <v>951</v>
      </c>
      <c r="H90" s="69" t="s">
        <v>1054</v>
      </c>
      <c r="I90" s="56" t="s">
        <v>1066</v>
      </c>
    </row>
    <row r="91" spans="1:9" ht="30" x14ac:dyDescent="0.25">
      <c r="A91" s="111">
        <v>140</v>
      </c>
      <c r="B91" s="112" t="s">
        <v>39</v>
      </c>
      <c r="C91" s="112" t="s">
        <v>40</v>
      </c>
      <c r="D91" s="56" t="s">
        <v>596</v>
      </c>
      <c r="E91" s="112" t="s">
        <v>1107</v>
      </c>
      <c r="F91" s="68" t="s">
        <v>362</v>
      </c>
      <c r="G91" s="29" t="s">
        <v>1088</v>
      </c>
      <c r="H91" s="69" t="s">
        <v>1118</v>
      </c>
      <c r="I91" s="56" t="s">
        <v>1120</v>
      </c>
    </row>
    <row r="92" spans="1:9" ht="30" x14ac:dyDescent="0.25">
      <c r="A92" s="111">
        <v>140</v>
      </c>
      <c r="B92" s="112" t="s">
        <v>39</v>
      </c>
      <c r="C92" s="112" t="s">
        <v>40</v>
      </c>
      <c r="D92" s="56" t="s">
        <v>596</v>
      </c>
      <c r="E92" s="112" t="s">
        <v>1108</v>
      </c>
      <c r="F92" s="68" t="s">
        <v>362</v>
      </c>
      <c r="G92" s="29" t="s">
        <v>1088</v>
      </c>
      <c r="H92" s="69" t="s">
        <v>1119</v>
      </c>
      <c r="I92" s="56" t="s">
        <v>1121</v>
      </c>
    </row>
    <row r="93" spans="1:9" x14ac:dyDescent="0.25">
      <c r="A93" s="111">
        <v>169</v>
      </c>
      <c r="B93" s="112" t="s">
        <v>27</v>
      </c>
      <c r="C93" s="112" t="s">
        <v>28</v>
      </c>
      <c r="D93" s="56" t="s">
        <v>653</v>
      </c>
      <c r="E93" s="112" t="s">
        <v>1109</v>
      </c>
      <c r="F93" s="68" t="s">
        <v>911</v>
      </c>
      <c r="G93" s="29" t="s">
        <v>1115</v>
      </c>
      <c r="H93" s="69" t="s">
        <v>980</v>
      </c>
      <c r="I93" s="56" t="s">
        <v>1112</v>
      </c>
    </row>
    <row r="94" spans="1:9" x14ac:dyDescent="0.25">
      <c r="A94" s="111">
        <v>169</v>
      </c>
      <c r="B94" s="112" t="s">
        <v>27</v>
      </c>
      <c r="C94" s="112" t="s">
        <v>28</v>
      </c>
      <c r="D94" s="56" t="s">
        <v>653</v>
      </c>
      <c r="E94" s="112" t="s">
        <v>1110</v>
      </c>
      <c r="F94" s="68" t="s">
        <v>911</v>
      </c>
      <c r="G94" s="29" t="s">
        <v>1116</v>
      </c>
      <c r="H94" s="69" t="s">
        <v>980</v>
      </c>
      <c r="I94" s="56" t="s">
        <v>1113</v>
      </c>
    </row>
    <row r="95" spans="1:9" x14ac:dyDescent="0.25">
      <c r="A95" s="111">
        <v>169</v>
      </c>
      <c r="B95" s="112" t="s">
        <v>27</v>
      </c>
      <c r="C95" s="112" t="s">
        <v>28</v>
      </c>
      <c r="D95" s="56" t="s">
        <v>653</v>
      </c>
      <c r="E95" s="112" t="s">
        <v>1111</v>
      </c>
      <c r="F95" s="68" t="s">
        <v>911</v>
      </c>
      <c r="G95" s="29" t="s">
        <v>1117</v>
      </c>
      <c r="H95" s="69" t="s">
        <v>980</v>
      </c>
      <c r="I95" s="56" t="s">
        <v>1114</v>
      </c>
    </row>
    <row r="96" spans="1:9" ht="30" x14ac:dyDescent="0.25">
      <c r="A96" s="111">
        <v>181</v>
      </c>
      <c r="B96" s="112" t="s">
        <v>64</v>
      </c>
      <c r="C96" s="112" t="s">
        <v>676</v>
      </c>
      <c r="D96" s="56" t="s">
        <v>1099</v>
      </c>
      <c r="E96" s="112" t="s">
        <v>971</v>
      </c>
      <c r="F96" s="68" t="s">
        <v>362</v>
      </c>
      <c r="G96" s="29" t="s">
        <v>951</v>
      </c>
      <c r="H96" s="69" t="s">
        <v>1005</v>
      </c>
      <c r="I96" s="56" t="s">
        <v>1010</v>
      </c>
    </row>
    <row r="97" spans="1:9" ht="30" x14ac:dyDescent="0.25">
      <c r="A97" s="111">
        <v>197</v>
      </c>
      <c r="B97" s="112" t="s">
        <v>64</v>
      </c>
      <c r="C97" s="112" t="s">
        <v>709</v>
      </c>
      <c r="D97" s="56" t="s">
        <v>1098</v>
      </c>
      <c r="E97" s="112" t="s">
        <v>972</v>
      </c>
      <c r="F97" s="68" t="s">
        <v>362</v>
      </c>
      <c r="G97" s="29" t="s">
        <v>951</v>
      </c>
      <c r="H97" s="69" t="s">
        <v>1008</v>
      </c>
      <c r="I97" s="56" t="s">
        <v>1011</v>
      </c>
    </row>
    <row r="98" spans="1:9" ht="30" x14ac:dyDescent="0.25">
      <c r="A98" s="111">
        <v>197</v>
      </c>
      <c r="B98" s="112" t="s">
        <v>64</v>
      </c>
      <c r="C98" s="112" t="s">
        <v>709</v>
      </c>
      <c r="D98" s="56" t="s">
        <v>1098</v>
      </c>
      <c r="E98" s="112" t="s">
        <v>973</v>
      </c>
      <c r="F98" s="68" t="s">
        <v>362</v>
      </c>
      <c r="G98" s="29" t="s">
        <v>951</v>
      </c>
      <c r="H98" s="69" t="s">
        <v>1009</v>
      </c>
      <c r="I98" s="56" t="s">
        <v>1012</v>
      </c>
    </row>
  </sheetData>
  <sheetProtection sheet="1" formatColumns="0" formatRows="0" insertRows="0" sort="0" autoFilter="0"/>
  <mergeCells count="6">
    <mergeCell ref="A1:C1"/>
    <mergeCell ref="A6:B6"/>
    <mergeCell ref="A5:B5"/>
    <mergeCell ref="A4:B4"/>
    <mergeCell ref="A3:B3"/>
    <mergeCell ref="A2:B2"/>
  </mergeCells>
  <phoneticPr fontId="5"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AED0F-6304-4406-8D1F-CA95956C31E2}">
  <sheetPr codeName="Sheet2">
    <pageSetUpPr fitToPage="1"/>
  </sheetPr>
  <dimension ref="A1:H19"/>
  <sheetViews>
    <sheetView topLeftCell="A3" zoomScale="85" zoomScaleNormal="85" workbookViewId="0">
      <selection activeCell="A10" sqref="A10:H19"/>
    </sheetView>
  </sheetViews>
  <sheetFormatPr defaultRowHeight="15" x14ac:dyDescent="0.25"/>
  <cols>
    <col min="1" max="1" width="11.5703125" customWidth="1"/>
    <col min="2" max="2" width="15" customWidth="1"/>
    <col min="3" max="3" width="18" customWidth="1"/>
    <col min="4" max="4" width="12.140625" customWidth="1"/>
    <col min="5" max="5" width="12.5703125" customWidth="1"/>
    <col min="6" max="6" width="14.7109375" customWidth="1"/>
    <col min="7" max="7" width="76.85546875" customWidth="1"/>
    <col min="8" max="8" width="71" customWidth="1"/>
    <col min="9" max="9" width="64.28515625" customWidth="1"/>
    <col min="10" max="10" width="82.5703125" customWidth="1"/>
    <col min="11" max="11" width="70" customWidth="1"/>
  </cols>
  <sheetData>
    <row r="1" spans="1:8" ht="15.75" thickBot="1" x14ac:dyDescent="0.3">
      <c r="A1" s="90" t="s">
        <v>350</v>
      </c>
      <c r="B1" s="91"/>
      <c r="C1" s="91"/>
      <c r="D1" s="92"/>
    </row>
    <row r="2" spans="1:8" x14ac:dyDescent="0.25">
      <c r="A2" s="88" t="s">
        <v>351</v>
      </c>
      <c r="B2" s="89"/>
      <c r="C2" s="97">
        <f>Proj_Number</f>
        <v>20570</v>
      </c>
      <c r="D2" s="98"/>
    </row>
    <row r="3" spans="1:8" x14ac:dyDescent="0.25">
      <c r="A3" s="88" t="s">
        <v>352</v>
      </c>
      <c r="B3" s="89"/>
      <c r="C3" s="93" t="str">
        <f>Proj_Customer</f>
        <v>Company</v>
      </c>
      <c r="D3" s="94"/>
    </row>
    <row r="4" spans="1:8" x14ac:dyDescent="0.25">
      <c r="A4" s="88" t="s">
        <v>353</v>
      </c>
      <c r="B4" s="89"/>
      <c r="C4" s="93" t="str">
        <f>Proj_Name</f>
        <v>600HP Face Reversing 4H Rolling Mill</v>
      </c>
      <c r="D4" s="94"/>
    </row>
    <row r="5" spans="1:8" x14ac:dyDescent="0.25">
      <c r="A5" s="88" t="s">
        <v>354</v>
      </c>
      <c r="B5" s="89"/>
      <c r="C5" s="93" t="str">
        <f>Proj_Specifications</f>
        <v>480VAC/60Hz/3P(Δ), 1200 AMP</v>
      </c>
      <c r="D5" s="94"/>
    </row>
    <row r="6" spans="1:8" ht="15.75" thickBot="1" x14ac:dyDescent="0.3">
      <c r="A6" s="86" t="s">
        <v>355</v>
      </c>
      <c r="B6" s="87"/>
      <c r="C6" s="95">
        <f>Last_Synced</f>
        <v>46063</v>
      </c>
      <c r="D6" s="96"/>
    </row>
    <row r="8" spans="1:8" ht="24" customHeight="1" x14ac:dyDescent="0.25">
      <c r="G8" s="43" t="s">
        <v>773</v>
      </c>
    </row>
    <row r="9" spans="1:8" ht="45" x14ac:dyDescent="0.25">
      <c r="A9" s="1" t="s">
        <v>335</v>
      </c>
      <c r="B9" s="1" t="s">
        <v>0</v>
      </c>
      <c r="C9" s="1" t="s">
        <v>1</v>
      </c>
      <c r="D9" s="1" t="s">
        <v>105</v>
      </c>
      <c r="E9" s="1" t="s">
        <v>341</v>
      </c>
      <c r="F9" s="1" t="s">
        <v>342</v>
      </c>
      <c r="G9" s="1" t="s">
        <v>2</v>
      </c>
      <c r="H9" s="1" t="s">
        <v>3</v>
      </c>
    </row>
    <row r="10" spans="1:8" x14ac:dyDescent="0.25">
      <c r="A10" s="38"/>
      <c r="B10" s="34"/>
      <c r="C10" s="34"/>
      <c r="D10" s="34"/>
      <c r="E10" s="33"/>
      <c r="F10" s="34"/>
      <c r="G10" s="56"/>
      <c r="H10" s="35"/>
    </row>
    <row r="11" spans="1:8" x14ac:dyDescent="0.25">
      <c r="A11" s="38"/>
      <c r="B11" s="34"/>
      <c r="C11" s="34"/>
      <c r="D11" s="34"/>
      <c r="E11" s="33"/>
      <c r="F11" s="34"/>
      <c r="G11" s="56"/>
      <c r="H11" s="35"/>
    </row>
    <row r="12" spans="1:8" x14ac:dyDescent="0.25">
      <c r="A12" s="38"/>
      <c r="B12" s="34"/>
      <c r="C12" s="34"/>
      <c r="D12" s="34"/>
      <c r="E12" s="33"/>
      <c r="F12" s="34"/>
      <c r="G12" s="56"/>
      <c r="H12" s="35"/>
    </row>
    <row r="13" spans="1:8" x14ac:dyDescent="0.25">
      <c r="A13" s="38"/>
      <c r="B13" s="34"/>
      <c r="C13" s="34"/>
      <c r="D13" s="34"/>
      <c r="E13" s="33"/>
      <c r="F13" s="34"/>
      <c r="G13" s="56"/>
      <c r="H13" s="35"/>
    </row>
    <row r="14" spans="1:8" x14ac:dyDescent="0.25">
      <c r="A14" s="38"/>
      <c r="B14" s="34"/>
      <c r="C14" s="34"/>
      <c r="D14" s="34"/>
      <c r="E14" s="33"/>
      <c r="F14" s="34"/>
      <c r="G14" s="56"/>
      <c r="H14" s="35"/>
    </row>
    <row r="15" spans="1:8" x14ac:dyDescent="0.25">
      <c r="A15" s="38"/>
      <c r="B15" s="34"/>
      <c r="C15" s="34"/>
      <c r="D15" s="34"/>
      <c r="E15" s="33"/>
      <c r="F15" s="34"/>
      <c r="G15" s="56"/>
      <c r="H15" s="35"/>
    </row>
    <row r="16" spans="1:8" x14ac:dyDescent="0.25">
      <c r="A16" s="38"/>
      <c r="B16" s="34"/>
      <c r="C16" s="34"/>
      <c r="D16" s="34"/>
      <c r="E16" s="33"/>
      <c r="F16" s="34"/>
      <c r="G16" s="56"/>
      <c r="H16" s="35"/>
    </row>
    <row r="17" spans="1:8" x14ac:dyDescent="0.25">
      <c r="A17" s="38"/>
      <c r="B17" s="34"/>
      <c r="C17" s="34"/>
      <c r="D17" s="34"/>
      <c r="E17" s="33"/>
      <c r="F17" s="34"/>
      <c r="G17" s="56"/>
      <c r="H17" s="35"/>
    </row>
    <row r="18" spans="1:8" x14ac:dyDescent="0.25">
      <c r="A18" s="38"/>
      <c r="B18" s="34"/>
      <c r="C18" s="34"/>
      <c r="D18" s="34"/>
      <c r="E18" s="33"/>
      <c r="F18" s="34"/>
      <c r="G18" s="56"/>
      <c r="H18" s="35"/>
    </row>
    <row r="19" spans="1:8" x14ac:dyDescent="0.25">
      <c r="A19" s="38"/>
      <c r="B19" s="34"/>
      <c r="C19" s="34"/>
      <c r="D19" s="34"/>
      <c r="E19" s="33"/>
      <c r="F19" s="34"/>
      <c r="G19" s="56"/>
      <c r="H19" s="35"/>
    </row>
  </sheetData>
  <sheetProtection sheet="1" formatColumns="0" formatRows="0" insertRows="0" sort="0" autoFilter="0"/>
  <mergeCells count="11">
    <mergeCell ref="A5:B5"/>
    <mergeCell ref="C5:D5"/>
    <mergeCell ref="A6:B6"/>
    <mergeCell ref="C6:D6"/>
    <mergeCell ref="A1:D1"/>
    <mergeCell ref="A2:B2"/>
    <mergeCell ref="C2:D2"/>
    <mergeCell ref="A3:B3"/>
    <mergeCell ref="C3:D3"/>
    <mergeCell ref="A4:B4"/>
    <mergeCell ref="C4:D4"/>
  </mergeCells>
  <pageMargins left="0.25" right="0.125" top="0.25" bottom="0.25" header="0" footer="0"/>
  <pageSetup paperSize="3" scale="99"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768D6-8B69-4DD7-8D18-C4817A70B937}">
  <sheetPr codeName="Sheet6">
    <pageSetUpPr fitToPage="1"/>
  </sheetPr>
  <dimension ref="A1:G83"/>
  <sheetViews>
    <sheetView topLeftCell="A69" zoomScale="85" zoomScaleNormal="85" workbookViewId="0">
      <selection activeCell="E19" sqref="E19"/>
    </sheetView>
  </sheetViews>
  <sheetFormatPr defaultRowHeight="15" x14ac:dyDescent="0.25"/>
  <cols>
    <col min="1" max="1" width="17" style="4" customWidth="1"/>
    <col min="2" max="2" width="15.5703125" style="4" customWidth="1"/>
    <col min="3" max="3" width="26.140625" style="4" customWidth="1"/>
    <col min="4" max="4" width="19.140625" style="4" customWidth="1"/>
    <col min="5" max="5" width="21.85546875" style="4" customWidth="1"/>
    <col min="6" max="6" width="19" style="4" customWidth="1"/>
    <col min="7" max="7" width="146" style="4" customWidth="1"/>
    <col min="8" max="16384" width="9.140625" style="4"/>
  </cols>
  <sheetData>
    <row r="1" spans="1:7" ht="15.75" thickBot="1" x14ac:dyDescent="0.3">
      <c r="A1" s="90" t="s">
        <v>350</v>
      </c>
      <c r="B1" s="91"/>
      <c r="C1" s="91"/>
      <c r="D1" s="92"/>
    </row>
    <row r="2" spans="1:7" x14ac:dyDescent="0.25">
      <c r="A2" s="88" t="s">
        <v>351</v>
      </c>
      <c r="B2" s="89"/>
      <c r="C2" s="97">
        <f>Proj_Number</f>
        <v>20570</v>
      </c>
      <c r="D2" s="98"/>
    </row>
    <row r="3" spans="1:7" x14ac:dyDescent="0.25">
      <c r="A3" s="88" t="s">
        <v>352</v>
      </c>
      <c r="B3" s="89"/>
      <c r="C3" s="93" t="str">
        <f>Proj_Customer</f>
        <v>Company</v>
      </c>
      <c r="D3" s="94"/>
    </row>
    <row r="4" spans="1:7" x14ac:dyDescent="0.25">
      <c r="A4" s="88" t="s">
        <v>353</v>
      </c>
      <c r="B4" s="89"/>
      <c r="C4" s="93" t="str">
        <f>Proj_Name</f>
        <v>600HP Face Reversing 4H Rolling Mill</v>
      </c>
      <c r="D4" s="94"/>
    </row>
    <row r="5" spans="1:7" x14ac:dyDescent="0.25">
      <c r="A5" s="88" t="s">
        <v>354</v>
      </c>
      <c r="B5" s="89"/>
      <c r="C5" s="93" t="str">
        <f>Proj_Specifications</f>
        <v>480VAC/60Hz/3P(Δ), 1200 AMP</v>
      </c>
      <c r="D5" s="94"/>
    </row>
    <row r="6" spans="1:7" ht="15.75" thickBot="1" x14ac:dyDescent="0.3">
      <c r="A6" s="86" t="s">
        <v>355</v>
      </c>
      <c r="B6" s="87"/>
      <c r="C6" s="95">
        <f>Last_Synced</f>
        <v>46063</v>
      </c>
      <c r="D6" s="96"/>
    </row>
    <row r="9" spans="1:7" s="3" customFormat="1" ht="30" x14ac:dyDescent="0.25">
      <c r="A9" s="1" t="s">
        <v>157</v>
      </c>
      <c r="B9" s="1" t="s">
        <v>185</v>
      </c>
      <c r="C9" s="1" t="s">
        <v>140</v>
      </c>
      <c r="D9" s="1" t="s">
        <v>151</v>
      </c>
      <c r="E9" s="1" t="s">
        <v>334</v>
      </c>
      <c r="F9" s="1" t="s">
        <v>343</v>
      </c>
      <c r="G9" s="1" t="s">
        <v>344</v>
      </c>
    </row>
    <row r="10" spans="1:7" ht="45" x14ac:dyDescent="0.25">
      <c r="A10" s="2" t="s">
        <v>4</v>
      </c>
      <c r="B10" s="2" t="s">
        <v>190</v>
      </c>
      <c r="C10" s="1" t="s">
        <v>141</v>
      </c>
      <c r="D10" s="1" t="s">
        <v>142</v>
      </c>
      <c r="E10" s="1" t="s">
        <v>147</v>
      </c>
      <c r="F10" s="1"/>
      <c r="G10" s="8" t="s">
        <v>143</v>
      </c>
    </row>
    <row r="11" spans="1:7" ht="30" x14ac:dyDescent="0.25">
      <c r="A11" s="2" t="s">
        <v>8</v>
      </c>
      <c r="B11" s="2" t="s">
        <v>190</v>
      </c>
      <c r="C11" s="1" t="s">
        <v>144</v>
      </c>
      <c r="D11" s="1" t="s">
        <v>7</v>
      </c>
      <c r="E11" s="1" t="s">
        <v>147</v>
      </c>
      <c r="F11" s="1"/>
      <c r="G11" s="8" t="s">
        <v>148</v>
      </c>
    </row>
    <row r="12" spans="1:7" ht="30" x14ac:dyDescent="0.25">
      <c r="A12" s="2" t="s">
        <v>10</v>
      </c>
      <c r="B12" s="2" t="s">
        <v>190</v>
      </c>
      <c r="C12" s="1" t="s">
        <v>145</v>
      </c>
      <c r="D12" s="1" t="s">
        <v>9</v>
      </c>
      <c r="E12" s="1" t="s">
        <v>147</v>
      </c>
      <c r="F12" s="1"/>
      <c r="G12" s="8" t="s">
        <v>148</v>
      </c>
    </row>
    <row r="13" spans="1:7" ht="30" x14ac:dyDescent="0.25">
      <c r="A13" s="2" t="s">
        <v>12</v>
      </c>
      <c r="B13" s="2" t="s">
        <v>190</v>
      </c>
      <c r="C13" s="1" t="s">
        <v>146</v>
      </c>
      <c r="D13" s="1" t="s">
        <v>11</v>
      </c>
      <c r="E13" s="1" t="s">
        <v>147</v>
      </c>
      <c r="F13" s="1"/>
      <c r="G13" s="8" t="s">
        <v>148</v>
      </c>
    </row>
    <row r="14" spans="1:7" x14ac:dyDescent="0.25">
      <c r="A14" s="2" t="s">
        <v>154</v>
      </c>
      <c r="B14" s="2" t="s">
        <v>190</v>
      </c>
      <c r="C14" s="1" t="s">
        <v>155</v>
      </c>
      <c r="D14" s="1"/>
      <c r="E14" s="1"/>
      <c r="F14" s="1"/>
      <c r="G14" s="8" t="s">
        <v>156</v>
      </c>
    </row>
    <row r="15" spans="1:7" x14ac:dyDescent="0.25">
      <c r="A15" s="2">
        <v>100</v>
      </c>
      <c r="B15" s="2" t="s">
        <v>188</v>
      </c>
      <c r="C15" s="1" t="s">
        <v>149</v>
      </c>
      <c r="D15" s="1" t="s">
        <v>152</v>
      </c>
      <c r="E15" s="1" t="s">
        <v>13</v>
      </c>
      <c r="F15" s="1" t="s">
        <v>284</v>
      </c>
      <c r="G15" s="8" t="s">
        <v>286</v>
      </c>
    </row>
    <row r="16" spans="1:7" x14ac:dyDescent="0.25">
      <c r="A16" s="2" t="s">
        <v>153</v>
      </c>
      <c r="B16" s="2" t="s">
        <v>189</v>
      </c>
      <c r="C16" s="1" t="s">
        <v>150</v>
      </c>
      <c r="D16" s="1" t="s">
        <v>158</v>
      </c>
      <c r="E16" s="1" t="s">
        <v>165</v>
      </c>
      <c r="F16" s="1" t="s">
        <v>285</v>
      </c>
      <c r="G16" s="8" t="s">
        <v>287</v>
      </c>
    </row>
    <row r="17" spans="1:7" ht="27" x14ac:dyDescent="0.25">
      <c r="A17" s="2">
        <v>200</v>
      </c>
      <c r="B17" s="2" t="s">
        <v>203</v>
      </c>
      <c r="C17" s="1" t="s">
        <v>204</v>
      </c>
      <c r="D17" s="1" t="s">
        <v>88</v>
      </c>
      <c r="E17" s="1"/>
      <c r="F17" s="1"/>
      <c r="G17" s="8" t="s">
        <v>288</v>
      </c>
    </row>
    <row r="18" spans="1:7" ht="30" x14ac:dyDescent="0.25">
      <c r="A18" s="2">
        <v>201</v>
      </c>
      <c r="B18" s="2" t="s">
        <v>203</v>
      </c>
      <c r="C18" s="1" t="s">
        <v>159</v>
      </c>
      <c r="D18" s="1" t="s">
        <v>18</v>
      </c>
      <c r="E18" s="1" t="s">
        <v>161</v>
      </c>
      <c r="F18" s="1"/>
      <c r="G18" s="8" t="s">
        <v>168</v>
      </c>
    </row>
    <row r="19" spans="1:7" ht="30" x14ac:dyDescent="0.25">
      <c r="A19" s="2">
        <v>202</v>
      </c>
      <c r="B19" s="2" t="s">
        <v>203</v>
      </c>
      <c r="C19" s="1" t="s">
        <v>160</v>
      </c>
      <c r="D19" s="1" t="s">
        <v>20</v>
      </c>
      <c r="E19" s="1" t="s">
        <v>162</v>
      </c>
      <c r="F19" s="1"/>
      <c r="G19" s="8" t="s">
        <v>169</v>
      </c>
    </row>
    <row r="20" spans="1:7" ht="30" x14ac:dyDescent="0.25">
      <c r="A20" s="2">
        <v>300</v>
      </c>
      <c r="B20" s="2" t="s">
        <v>187</v>
      </c>
      <c r="C20" s="1" t="s">
        <v>163</v>
      </c>
      <c r="D20" s="1" t="s">
        <v>164</v>
      </c>
      <c r="E20" s="1" t="s">
        <v>166</v>
      </c>
      <c r="F20" s="1" t="s">
        <v>167</v>
      </c>
      <c r="G20" s="8" t="s">
        <v>170</v>
      </c>
    </row>
    <row r="21" spans="1:7" x14ac:dyDescent="0.25">
      <c r="A21" s="2">
        <v>301</v>
      </c>
      <c r="B21" s="2" t="s">
        <v>187</v>
      </c>
      <c r="C21" s="1" t="s">
        <v>201</v>
      </c>
      <c r="D21" s="1" t="s">
        <v>171</v>
      </c>
      <c r="E21" s="1" t="s">
        <v>175</v>
      </c>
      <c r="F21" s="1"/>
      <c r="G21" s="8" t="s">
        <v>202</v>
      </c>
    </row>
    <row r="22" spans="1:7" x14ac:dyDescent="0.25">
      <c r="A22" s="2">
        <v>302</v>
      </c>
      <c r="B22" s="2" t="s">
        <v>187</v>
      </c>
      <c r="C22" s="1" t="s">
        <v>200</v>
      </c>
      <c r="D22" s="1" t="s">
        <v>23</v>
      </c>
      <c r="E22" s="1"/>
      <c r="F22" s="1" t="s">
        <v>23</v>
      </c>
      <c r="G22" s="8" t="s">
        <v>176</v>
      </c>
    </row>
    <row r="23" spans="1:7" ht="30" x14ac:dyDescent="0.25">
      <c r="A23" s="2">
        <v>303</v>
      </c>
      <c r="B23" s="2" t="s">
        <v>187</v>
      </c>
      <c r="C23" s="1" t="s">
        <v>209</v>
      </c>
      <c r="D23" s="1" t="s">
        <v>26</v>
      </c>
      <c r="E23" s="1"/>
      <c r="F23" s="1" t="s">
        <v>178</v>
      </c>
      <c r="G23" s="8" t="s">
        <v>177</v>
      </c>
    </row>
    <row r="24" spans="1:7" ht="30" x14ac:dyDescent="0.25">
      <c r="A24" s="2">
        <v>400</v>
      </c>
      <c r="B24" s="2" t="s">
        <v>186</v>
      </c>
      <c r="C24" s="1" t="s">
        <v>199</v>
      </c>
      <c r="D24" s="1" t="s">
        <v>179</v>
      </c>
      <c r="E24" s="1"/>
      <c r="F24" s="1" t="s">
        <v>180</v>
      </c>
      <c r="G24" s="8" t="s">
        <v>181</v>
      </c>
    </row>
    <row r="25" spans="1:7" x14ac:dyDescent="0.25">
      <c r="A25" s="2">
        <v>401</v>
      </c>
      <c r="B25" s="2" t="s">
        <v>186</v>
      </c>
      <c r="C25" s="1" t="s">
        <v>198</v>
      </c>
      <c r="D25" s="1" t="s">
        <v>32</v>
      </c>
      <c r="E25" s="1"/>
      <c r="F25" s="1" t="s">
        <v>32</v>
      </c>
      <c r="G25" s="8" t="s">
        <v>184</v>
      </c>
    </row>
    <row r="26" spans="1:7" x14ac:dyDescent="0.25">
      <c r="A26" s="2">
        <v>402</v>
      </c>
      <c r="B26" s="2" t="s">
        <v>186</v>
      </c>
      <c r="C26" s="1" t="s">
        <v>201</v>
      </c>
      <c r="D26" s="1" t="s">
        <v>172</v>
      </c>
      <c r="E26" s="1" t="s">
        <v>205</v>
      </c>
      <c r="F26" s="1"/>
      <c r="G26" s="8" t="s">
        <v>206</v>
      </c>
    </row>
    <row r="27" spans="1:7" x14ac:dyDescent="0.25">
      <c r="A27" s="2">
        <v>403</v>
      </c>
      <c r="B27" s="2" t="s">
        <v>186</v>
      </c>
      <c r="C27" s="1" t="s">
        <v>200</v>
      </c>
      <c r="D27" s="1" t="s">
        <v>33</v>
      </c>
      <c r="E27" s="1"/>
      <c r="F27" s="1" t="s">
        <v>33</v>
      </c>
      <c r="G27" s="8" t="s">
        <v>207</v>
      </c>
    </row>
    <row r="28" spans="1:7" ht="30" x14ac:dyDescent="0.25">
      <c r="A28" s="2">
        <v>404</v>
      </c>
      <c r="B28" s="2" t="s">
        <v>186</v>
      </c>
      <c r="C28" s="1" t="s">
        <v>209</v>
      </c>
      <c r="D28" s="1" t="s">
        <v>35</v>
      </c>
      <c r="E28" s="1"/>
      <c r="F28" s="1" t="s">
        <v>208</v>
      </c>
      <c r="G28" s="8" t="s">
        <v>177</v>
      </c>
    </row>
    <row r="29" spans="1:7" x14ac:dyDescent="0.25">
      <c r="A29" s="2">
        <v>405</v>
      </c>
      <c r="B29" s="2" t="s">
        <v>186</v>
      </c>
      <c r="C29" s="1" t="s">
        <v>210</v>
      </c>
      <c r="D29" s="1" t="s">
        <v>211</v>
      </c>
      <c r="E29" s="1" t="s">
        <v>215</v>
      </c>
      <c r="F29" s="1" t="s">
        <v>216</v>
      </c>
      <c r="G29" s="8" t="s">
        <v>217</v>
      </c>
    </row>
    <row r="30" spans="1:7" ht="30" x14ac:dyDescent="0.25">
      <c r="A30" s="2">
        <v>406</v>
      </c>
      <c r="B30" s="2" t="s">
        <v>186</v>
      </c>
      <c r="C30" s="1" t="s">
        <v>218</v>
      </c>
      <c r="D30" s="1" t="s">
        <v>212</v>
      </c>
      <c r="E30" s="1" t="s">
        <v>219</v>
      </c>
      <c r="F30" s="1" t="s">
        <v>220</v>
      </c>
      <c r="G30" s="8" t="s">
        <v>217</v>
      </c>
    </row>
    <row r="31" spans="1:7" ht="30" x14ac:dyDescent="0.25">
      <c r="A31" s="2">
        <v>407</v>
      </c>
      <c r="B31" s="2" t="s">
        <v>186</v>
      </c>
      <c r="C31" s="1" t="s">
        <v>221</v>
      </c>
      <c r="D31" s="1" t="s">
        <v>213</v>
      </c>
      <c r="E31" s="1" t="s">
        <v>222</v>
      </c>
      <c r="F31" s="1" t="s">
        <v>223</v>
      </c>
      <c r="G31" s="8" t="s">
        <v>217</v>
      </c>
    </row>
    <row r="32" spans="1:7" ht="60" x14ac:dyDescent="0.25">
      <c r="A32" s="2">
        <v>408</v>
      </c>
      <c r="B32" s="2" t="s">
        <v>186</v>
      </c>
      <c r="C32" s="1" t="s">
        <v>224</v>
      </c>
      <c r="D32" s="1" t="s">
        <v>226</v>
      </c>
      <c r="E32" s="1" t="s">
        <v>225</v>
      </c>
      <c r="F32" s="1" t="s">
        <v>38</v>
      </c>
      <c r="G32" s="8" t="s">
        <v>267</v>
      </c>
    </row>
    <row r="33" spans="1:7" x14ac:dyDescent="0.25">
      <c r="A33" s="2">
        <v>409</v>
      </c>
      <c r="B33" s="2" t="s">
        <v>186</v>
      </c>
      <c r="C33" s="1" t="s">
        <v>227</v>
      </c>
      <c r="D33" s="1" t="s">
        <v>173</v>
      </c>
      <c r="E33" s="1" t="s">
        <v>238</v>
      </c>
      <c r="F33" s="1" t="s">
        <v>237</v>
      </c>
      <c r="G33" s="8" t="s">
        <v>230</v>
      </c>
    </row>
    <row r="34" spans="1:7" x14ac:dyDescent="0.25">
      <c r="A34" s="2">
        <v>410</v>
      </c>
      <c r="B34" s="2" t="s">
        <v>186</v>
      </c>
      <c r="C34" s="1" t="s">
        <v>228</v>
      </c>
      <c r="D34" s="1" t="s">
        <v>174</v>
      </c>
      <c r="E34" s="1" t="s">
        <v>239</v>
      </c>
      <c r="F34" s="1" t="s">
        <v>236</v>
      </c>
      <c r="G34" s="8" t="s">
        <v>230</v>
      </c>
    </row>
    <row r="35" spans="1:7" ht="30" x14ac:dyDescent="0.25">
      <c r="A35" s="2">
        <v>411</v>
      </c>
      <c r="B35" s="2" t="s">
        <v>186</v>
      </c>
      <c r="C35" s="1" t="s">
        <v>231</v>
      </c>
      <c r="D35" s="1" t="s">
        <v>232</v>
      </c>
      <c r="E35" s="1" t="s">
        <v>235</v>
      </c>
      <c r="F35" s="1" t="s">
        <v>234</v>
      </c>
      <c r="G35" s="8" t="s">
        <v>233</v>
      </c>
    </row>
    <row r="36" spans="1:7" ht="30" x14ac:dyDescent="0.25">
      <c r="A36" s="2">
        <v>412</v>
      </c>
      <c r="B36" s="2" t="s">
        <v>186</v>
      </c>
      <c r="C36" s="1" t="s">
        <v>240</v>
      </c>
      <c r="D36" s="1"/>
      <c r="E36" s="1" t="s">
        <v>241</v>
      </c>
      <c r="F36" s="1" t="s">
        <v>42</v>
      </c>
      <c r="G36" s="8" t="s">
        <v>242</v>
      </c>
    </row>
    <row r="37" spans="1:7" ht="30" x14ac:dyDescent="0.25">
      <c r="A37" s="2">
        <v>413</v>
      </c>
      <c r="B37" s="2" t="s">
        <v>186</v>
      </c>
      <c r="C37" s="1" t="s">
        <v>244</v>
      </c>
      <c r="D37" s="1" t="s">
        <v>43</v>
      </c>
      <c r="E37" s="1"/>
      <c r="F37" s="1" t="s">
        <v>43</v>
      </c>
      <c r="G37" s="8" t="s">
        <v>243</v>
      </c>
    </row>
    <row r="38" spans="1:7" ht="30" x14ac:dyDescent="0.25">
      <c r="A38" s="2">
        <v>414</v>
      </c>
      <c r="B38" s="2" t="s">
        <v>186</v>
      </c>
      <c r="C38" s="1" t="s">
        <v>245</v>
      </c>
      <c r="D38" s="1" t="s">
        <v>44</v>
      </c>
      <c r="E38" s="1"/>
      <c r="F38" s="1"/>
      <c r="G38" s="8" t="s">
        <v>289</v>
      </c>
    </row>
    <row r="39" spans="1:7" ht="45" x14ac:dyDescent="0.25">
      <c r="A39" s="2">
        <v>415</v>
      </c>
      <c r="B39" s="2" t="s">
        <v>186</v>
      </c>
      <c r="C39" s="1" t="s">
        <v>246</v>
      </c>
      <c r="D39" s="1"/>
      <c r="E39" s="1" t="s">
        <v>248</v>
      </c>
      <c r="F39" s="1" t="s">
        <v>47</v>
      </c>
      <c r="G39" s="8" t="s">
        <v>253</v>
      </c>
    </row>
    <row r="40" spans="1:7" ht="45" x14ac:dyDescent="0.25">
      <c r="A40" s="2">
        <v>416</v>
      </c>
      <c r="B40" s="2" t="s">
        <v>186</v>
      </c>
      <c r="C40" s="1" t="s">
        <v>247</v>
      </c>
      <c r="D40" s="1"/>
      <c r="E40" s="1" t="s">
        <v>249</v>
      </c>
      <c r="F40" s="1" t="s">
        <v>48</v>
      </c>
      <c r="G40" s="8" t="s">
        <v>254</v>
      </c>
    </row>
    <row r="41" spans="1:7" x14ac:dyDescent="0.25">
      <c r="A41" s="2">
        <v>417</v>
      </c>
      <c r="B41" s="2" t="s">
        <v>186</v>
      </c>
      <c r="C41" s="1" t="s">
        <v>255</v>
      </c>
      <c r="D41" s="1" t="s">
        <v>49</v>
      </c>
      <c r="E41" s="1"/>
      <c r="F41" s="1" t="s">
        <v>49</v>
      </c>
      <c r="G41" s="8" t="s">
        <v>258</v>
      </c>
    </row>
    <row r="42" spans="1:7" x14ac:dyDescent="0.25">
      <c r="A42" s="2">
        <v>418</v>
      </c>
      <c r="B42" s="2" t="s">
        <v>186</v>
      </c>
      <c r="C42" s="1" t="s">
        <v>256</v>
      </c>
      <c r="D42" s="1" t="s">
        <v>51</v>
      </c>
      <c r="E42" s="1"/>
      <c r="F42" s="1" t="s">
        <v>51</v>
      </c>
      <c r="G42" s="8" t="s">
        <v>257</v>
      </c>
    </row>
    <row r="43" spans="1:7" ht="30" x14ac:dyDescent="0.25">
      <c r="A43" s="2">
        <v>500</v>
      </c>
      <c r="B43" s="2" t="s">
        <v>191</v>
      </c>
      <c r="C43" s="1" t="s">
        <v>199</v>
      </c>
      <c r="D43" s="1" t="s">
        <v>182</v>
      </c>
      <c r="E43" s="1"/>
      <c r="F43" s="1" t="s">
        <v>183</v>
      </c>
      <c r="G43" s="8" t="s">
        <v>181</v>
      </c>
    </row>
    <row r="44" spans="1:7" x14ac:dyDescent="0.25">
      <c r="A44" s="2">
        <v>501</v>
      </c>
      <c r="B44" s="2" t="s">
        <v>191</v>
      </c>
      <c r="C44" s="1" t="s">
        <v>198</v>
      </c>
      <c r="D44" s="1" t="s">
        <v>52</v>
      </c>
      <c r="E44" s="1"/>
      <c r="F44" s="1" t="s">
        <v>52</v>
      </c>
      <c r="G44" s="8" t="s">
        <v>184</v>
      </c>
    </row>
    <row r="45" spans="1:7" x14ac:dyDescent="0.25">
      <c r="A45" s="2">
        <v>502</v>
      </c>
      <c r="B45" s="2" t="s">
        <v>191</v>
      </c>
      <c r="C45" s="1" t="s">
        <v>201</v>
      </c>
      <c r="D45" s="1" t="s">
        <v>229</v>
      </c>
      <c r="E45" s="1" t="s">
        <v>259</v>
      </c>
      <c r="F45" s="1"/>
      <c r="G45" s="8" t="s">
        <v>206</v>
      </c>
    </row>
    <row r="46" spans="1:7" x14ac:dyDescent="0.25">
      <c r="A46" s="2">
        <v>503</v>
      </c>
      <c r="B46" s="2" t="s">
        <v>191</v>
      </c>
      <c r="C46" s="1" t="s">
        <v>200</v>
      </c>
      <c r="D46" s="1" t="s">
        <v>53</v>
      </c>
      <c r="E46" s="1"/>
      <c r="F46" s="1" t="s">
        <v>53</v>
      </c>
      <c r="G46" s="8" t="s">
        <v>207</v>
      </c>
    </row>
    <row r="47" spans="1:7" ht="30" x14ac:dyDescent="0.25">
      <c r="A47" s="2">
        <v>504</v>
      </c>
      <c r="B47" s="2" t="s">
        <v>191</v>
      </c>
      <c r="C47" s="1" t="s">
        <v>209</v>
      </c>
      <c r="D47" s="1" t="s">
        <v>54</v>
      </c>
      <c r="E47" s="1"/>
      <c r="F47" s="1" t="s">
        <v>260</v>
      </c>
      <c r="G47" s="8" t="s">
        <v>177</v>
      </c>
    </row>
    <row r="48" spans="1:7" x14ac:dyDescent="0.25">
      <c r="A48" s="2">
        <v>505</v>
      </c>
      <c r="B48" s="2" t="s">
        <v>191</v>
      </c>
      <c r="C48" s="1" t="s">
        <v>210</v>
      </c>
      <c r="D48" s="1" t="s">
        <v>214</v>
      </c>
      <c r="E48" s="1" t="s">
        <v>250</v>
      </c>
      <c r="F48" s="1" t="s">
        <v>261</v>
      </c>
      <c r="G48" s="8" t="s">
        <v>217</v>
      </c>
    </row>
    <row r="49" spans="1:7" ht="30" x14ac:dyDescent="0.25">
      <c r="A49" s="2">
        <v>506</v>
      </c>
      <c r="B49" s="2" t="s">
        <v>191</v>
      </c>
      <c r="C49" s="1" t="s">
        <v>218</v>
      </c>
      <c r="D49" s="1" t="s">
        <v>263</v>
      </c>
      <c r="E49" s="1" t="s">
        <v>251</v>
      </c>
      <c r="F49" s="1" t="s">
        <v>262</v>
      </c>
      <c r="G49" s="8" t="s">
        <v>217</v>
      </c>
    </row>
    <row r="50" spans="1:7" ht="30" x14ac:dyDescent="0.25">
      <c r="A50" s="2">
        <v>507</v>
      </c>
      <c r="B50" s="2" t="s">
        <v>191</v>
      </c>
      <c r="C50" s="1" t="s">
        <v>221</v>
      </c>
      <c r="D50" s="1" t="s">
        <v>264</v>
      </c>
      <c r="E50" s="1" t="s">
        <v>252</v>
      </c>
      <c r="F50" s="1" t="s">
        <v>265</v>
      </c>
      <c r="G50" s="8" t="s">
        <v>217</v>
      </c>
    </row>
    <row r="51" spans="1:7" ht="60" x14ac:dyDescent="0.25">
      <c r="A51" s="2">
        <v>508</v>
      </c>
      <c r="B51" s="2" t="s">
        <v>191</v>
      </c>
      <c r="C51" s="1" t="s">
        <v>224</v>
      </c>
      <c r="D51" s="1" t="s">
        <v>268</v>
      </c>
      <c r="E51" s="1" t="s">
        <v>266</v>
      </c>
      <c r="F51" s="1" t="s">
        <v>55</v>
      </c>
      <c r="G51" s="8" t="s">
        <v>267</v>
      </c>
    </row>
    <row r="52" spans="1:7" x14ac:dyDescent="0.25">
      <c r="A52" s="2">
        <v>509</v>
      </c>
      <c r="B52" s="2" t="s">
        <v>191</v>
      </c>
      <c r="C52" s="1" t="s">
        <v>227</v>
      </c>
      <c r="D52" s="1" t="s">
        <v>269</v>
      </c>
      <c r="E52" s="1" t="s">
        <v>270</v>
      </c>
      <c r="F52" s="1" t="s">
        <v>271</v>
      </c>
      <c r="G52" s="8" t="s">
        <v>230</v>
      </c>
    </row>
    <row r="53" spans="1:7" x14ac:dyDescent="0.25">
      <c r="A53" s="2">
        <v>510</v>
      </c>
      <c r="B53" s="2" t="s">
        <v>191</v>
      </c>
      <c r="C53" s="1" t="s">
        <v>228</v>
      </c>
      <c r="D53" s="1" t="s">
        <v>274</v>
      </c>
      <c r="E53" s="1" t="s">
        <v>273</v>
      </c>
      <c r="F53" s="1" t="s">
        <v>272</v>
      </c>
      <c r="G53" s="8" t="s">
        <v>230</v>
      </c>
    </row>
    <row r="54" spans="1:7" ht="30" x14ac:dyDescent="0.25">
      <c r="A54" s="2">
        <v>511</v>
      </c>
      <c r="B54" s="2" t="s">
        <v>191</v>
      </c>
      <c r="C54" s="1" t="s">
        <v>231</v>
      </c>
      <c r="D54" s="1" t="s">
        <v>275</v>
      </c>
      <c r="E54" s="1" t="s">
        <v>276</v>
      </c>
      <c r="F54" s="1" t="s">
        <v>277</v>
      </c>
      <c r="G54" s="8" t="s">
        <v>278</v>
      </c>
    </row>
    <row r="55" spans="1:7" ht="30" x14ac:dyDescent="0.25">
      <c r="A55" s="2">
        <v>512</v>
      </c>
      <c r="B55" s="2" t="s">
        <v>191</v>
      </c>
      <c r="C55" s="1" t="s">
        <v>240</v>
      </c>
      <c r="D55" s="1"/>
      <c r="E55" s="1" t="s">
        <v>279</v>
      </c>
      <c r="F55" s="1" t="s">
        <v>56</v>
      </c>
      <c r="G55" s="8" t="s">
        <v>242</v>
      </c>
    </row>
    <row r="56" spans="1:7" ht="30" x14ac:dyDescent="0.25">
      <c r="A56" s="2">
        <v>513</v>
      </c>
      <c r="B56" s="2" t="s">
        <v>191</v>
      </c>
      <c r="C56" s="1" t="s">
        <v>244</v>
      </c>
      <c r="D56" s="1" t="s">
        <v>57</v>
      </c>
      <c r="E56" s="1"/>
      <c r="F56" s="1" t="s">
        <v>57</v>
      </c>
      <c r="G56" s="8" t="s">
        <v>243</v>
      </c>
    </row>
    <row r="57" spans="1:7" ht="30" x14ac:dyDescent="0.25">
      <c r="A57" s="2">
        <v>514</v>
      </c>
      <c r="B57" s="2" t="s">
        <v>191</v>
      </c>
      <c r="C57" s="1" t="s">
        <v>245</v>
      </c>
      <c r="D57" s="1" t="s">
        <v>58</v>
      </c>
      <c r="E57" s="1"/>
      <c r="F57" s="1"/>
      <c r="G57" s="8" t="s">
        <v>289</v>
      </c>
    </row>
    <row r="58" spans="1:7" ht="45" x14ac:dyDescent="0.25">
      <c r="A58" s="2">
        <v>515</v>
      </c>
      <c r="B58" s="2" t="s">
        <v>191</v>
      </c>
      <c r="C58" s="1" t="s">
        <v>246</v>
      </c>
      <c r="D58" s="1"/>
      <c r="E58" s="1" t="s">
        <v>280</v>
      </c>
      <c r="F58" s="1" t="s">
        <v>59</v>
      </c>
      <c r="G58" s="8" t="s">
        <v>283</v>
      </c>
    </row>
    <row r="59" spans="1:7" ht="45" x14ac:dyDescent="0.25">
      <c r="A59" s="2">
        <v>516</v>
      </c>
      <c r="B59" s="2" t="s">
        <v>191</v>
      </c>
      <c r="C59" s="1" t="s">
        <v>247</v>
      </c>
      <c r="D59" s="1"/>
      <c r="E59" s="1" t="s">
        <v>281</v>
      </c>
      <c r="F59" s="1" t="s">
        <v>60</v>
      </c>
      <c r="G59" s="8" t="s">
        <v>282</v>
      </c>
    </row>
    <row r="60" spans="1:7" x14ac:dyDescent="0.25">
      <c r="A60" s="2">
        <v>517</v>
      </c>
      <c r="B60" s="2" t="s">
        <v>191</v>
      </c>
      <c r="C60" s="1" t="s">
        <v>255</v>
      </c>
      <c r="D60" s="1" t="s">
        <v>61</v>
      </c>
      <c r="E60" s="1"/>
      <c r="F60" s="1" t="s">
        <v>61</v>
      </c>
      <c r="G60" s="8" t="s">
        <v>258</v>
      </c>
    </row>
    <row r="61" spans="1:7" x14ac:dyDescent="0.25">
      <c r="A61" s="2">
        <v>518</v>
      </c>
      <c r="B61" s="2" t="s">
        <v>191</v>
      </c>
      <c r="C61" s="1" t="s">
        <v>256</v>
      </c>
      <c r="D61" s="1" t="s">
        <v>62</v>
      </c>
      <c r="E61" s="1"/>
      <c r="F61" s="1" t="s">
        <v>62</v>
      </c>
      <c r="G61" s="8" t="s">
        <v>257</v>
      </c>
    </row>
    <row r="62" spans="1:7" ht="30" x14ac:dyDescent="0.25">
      <c r="A62" s="2">
        <v>600</v>
      </c>
      <c r="B62" s="2" t="s">
        <v>193</v>
      </c>
      <c r="C62" s="1" t="s">
        <v>318</v>
      </c>
      <c r="D62" s="1" t="s">
        <v>63</v>
      </c>
      <c r="E62" s="1"/>
      <c r="F62" s="1" t="s">
        <v>63</v>
      </c>
      <c r="G62" s="8" t="s">
        <v>290</v>
      </c>
    </row>
    <row r="63" spans="1:7" ht="30" x14ac:dyDescent="0.25">
      <c r="A63" s="2">
        <v>601</v>
      </c>
      <c r="B63" s="2" t="s">
        <v>193</v>
      </c>
      <c r="C63" s="1" t="s">
        <v>291</v>
      </c>
      <c r="D63" s="1" t="s">
        <v>292</v>
      </c>
      <c r="E63" s="1" t="s">
        <v>294</v>
      </c>
      <c r="F63" s="1"/>
      <c r="G63" s="8" t="s">
        <v>295</v>
      </c>
    </row>
    <row r="64" spans="1:7" ht="27" x14ac:dyDescent="0.25">
      <c r="A64" s="2">
        <v>610</v>
      </c>
      <c r="B64" s="2" t="s">
        <v>192</v>
      </c>
      <c r="C64" s="1" t="s">
        <v>304</v>
      </c>
      <c r="D64" s="1"/>
      <c r="E64" s="1" t="s">
        <v>296</v>
      </c>
      <c r="F64" s="1" t="s">
        <v>65</v>
      </c>
      <c r="G64" s="8" t="s">
        <v>306</v>
      </c>
    </row>
    <row r="65" spans="1:7" ht="27" x14ac:dyDescent="0.25">
      <c r="A65" s="2">
        <v>611</v>
      </c>
      <c r="B65" s="2" t="s">
        <v>192</v>
      </c>
      <c r="C65" s="1" t="s">
        <v>307</v>
      </c>
      <c r="D65" s="1" t="s">
        <v>66</v>
      </c>
      <c r="E65" s="1" t="s">
        <v>297</v>
      </c>
      <c r="F65" s="1"/>
      <c r="G65" s="8" t="s">
        <v>311</v>
      </c>
    </row>
    <row r="66" spans="1:7" ht="27" x14ac:dyDescent="0.25">
      <c r="A66" s="2">
        <v>612</v>
      </c>
      <c r="B66" s="2" t="s">
        <v>192</v>
      </c>
      <c r="C66" s="1" t="s">
        <v>308</v>
      </c>
      <c r="D66" s="1" t="s">
        <v>66</v>
      </c>
      <c r="E66" s="1" t="s">
        <v>298</v>
      </c>
      <c r="F66" s="1"/>
      <c r="G66" s="8" t="s">
        <v>310</v>
      </c>
    </row>
    <row r="67" spans="1:7" ht="27" x14ac:dyDescent="0.25">
      <c r="A67" s="2">
        <v>620</v>
      </c>
      <c r="B67" s="2" t="s">
        <v>194</v>
      </c>
      <c r="C67" s="1" t="s">
        <v>304</v>
      </c>
      <c r="D67" s="1"/>
      <c r="E67" s="1" t="s">
        <v>299</v>
      </c>
      <c r="F67" s="1" t="s">
        <v>68</v>
      </c>
      <c r="G67" s="8" t="s">
        <v>312</v>
      </c>
    </row>
    <row r="68" spans="1:7" ht="30" x14ac:dyDescent="0.25">
      <c r="A68" s="2">
        <v>621</v>
      </c>
      <c r="B68" s="2" t="s">
        <v>194</v>
      </c>
      <c r="C68" s="1" t="s">
        <v>316</v>
      </c>
      <c r="D68" s="1" t="s">
        <v>69</v>
      </c>
      <c r="E68" s="1"/>
      <c r="F68" s="1" t="s">
        <v>69</v>
      </c>
      <c r="G68" s="8" t="s">
        <v>313</v>
      </c>
    </row>
    <row r="69" spans="1:7" ht="27" x14ac:dyDescent="0.25">
      <c r="A69" s="2">
        <v>622</v>
      </c>
      <c r="B69" s="2" t="s">
        <v>194</v>
      </c>
      <c r="C69" s="1" t="s">
        <v>317</v>
      </c>
      <c r="D69" s="1" t="s">
        <v>293</v>
      </c>
      <c r="E69" s="1" t="s">
        <v>315</v>
      </c>
      <c r="F69" s="1"/>
      <c r="G69" s="8" t="s">
        <v>314</v>
      </c>
    </row>
    <row r="70" spans="1:7" ht="27" x14ac:dyDescent="0.25">
      <c r="A70" s="2">
        <v>623</v>
      </c>
      <c r="B70" s="2" t="s">
        <v>194</v>
      </c>
      <c r="C70" s="1" t="s">
        <v>308</v>
      </c>
      <c r="D70" s="1" t="s">
        <v>70</v>
      </c>
      <c r="E70" s="1" t="s">
        <v>300</v>
      </c>
      <c r="F70" s="1"/>
      <c r="G70" s="8" t="s">
        <v>309</v>
      </c>
    </row>
    <row r="71" spans="1:7" ht="27" x14ac:dyDescent="0.25">
      <c r="A71" s="2">
        <v>630</v>
      </c>
      <c r="B71" s="2" t="s">
        <v>195</v>
      </c>
      <c r="C71" s="1" t="s">
        <v>304</v>
      </c>
      <c r="D71" s="1"/>
      <c r="E71" s="1" t="s">
        <v>301</v>
      </c>
      <c r="F71" s="1" t="s">
        <v>71</v>
      </c>
      <c r="G71" s="8" t="s">
        <v>306</v>
      </c>
    </row>
    <row r="72" spans="1:7" ht="27" x14ac:dyDescent="0.25">
      <c r="A72" s="2">
        <v>631</v>
      </c>
      <c r="B72" s="2" t="s">
        <v>195</v>
      </c>
      <c r="C72" s="1" t="s">
        <v>307</v>
      </c>
      <c r="D72" s="1" t="s">
        <v>72</v>
      </c>
      <c r="E72" s="1" t="s">
        <v>302</v>
      </c>
      <c r="F72" s="1"/>
      <c r="G72" s="8" t="s">
        <v>311</v>
      </c>
    </row>
    <row r="73" spans="1:7" ht="27" x14ac:dyDescent="0.25">
      <c r="A73" s="2">
        <v>632</v>
      </c>
      <c r="B73" s="2" t="s">
        <v>195</v>
      </c>
      <c r="C73" s="1" t="s">
        <v>308</v>
      </c>
      <c r="D73" s="1" t="s">
        <v>72</v>
      </c>
      <c r="E73" s="1" t="s">
        <v>303</v>
      </c>
      <c r="F73" s="1"/>
      <c r="G73" s="8" t="s">
        <v>310</v>
      </c>
    </row>
    <row r="74" spans="1:7" ht="27" x14ac:dyDescent="0.25">
      <c r="A74" s="2">
        <v>640</v>
      </c>
      <c r="B74" s="2" t="s">
        <v>196</v>
      </c>
      <c r="C74" s="1" t="s">
        <v>304</v>
      </c>
      <c r="D74" s="1"/>
      <c r="E74" s="1" t="s">
        <v>305</v>
      </c>
      <c r="F74" s="1" t="s">
        <v>73</v>
      </c>
      <c r="G74" s="8" t="s">
        <v>312</v>
      </c>
    </row>
    <row r="75" spans="1:7" ht="30" x14ac:dyDescent="0.25">
      <c r="A75" s="2">
        <v>641</v>
      </c>
      <c r="B75" s="2" t="s">
        <v>196</v>
      </c>
      <c r="C75" s="1" t="s">
        <v>316</v>
      </c>
      <c r="D75" s="1" t="s">
        <v>74</v>
      </c>
      <c r="E75" s="1"/>
      <c r="F75" s="1" t="s">
        <v>74</v>
      </c>
      <c r="G75" s="8" t="s">
        <v>313</v>
      </c>
    </row>
    <row r="76" spans="1:7" ht="27" x14ac:dyDescent="0.25">
      <c r="A76" s="2">
        <v>642</v>
      </c>
      <c r="B76" s="2" t="s">
        <v>196</v>
      </c>
      <c r="C76" s="1" t="s">
        <v>317</v>
      </c>
      <c r="D76" s="1" t="s">
        <v>319</v>
      </c>
      <c r="E76" s="1" t="s">
        <v>320</v>
      </c>
      <c r="F76" s="1"/>
      <c r="G76" s="8" t="s">
        <v>314</v>
      </c>
    </row>
    <row r="77" spans="1:7" ht="27" x14ac:dyDescent="0.25">
      <c r="A77" s="2">
        <v>643</v>
      </c>
      <c r="B77" s="2" t="s">
        <v>196</v>
      </c>
      <c r="C77" s="1" t="s">
        <v>308</v>
      </c>
      <c r="D77" s="1" t="s">
        <v>75</v>
      </c>
      <c r="E77" s="1" t="s">
        <v>321</v>
      </c>
      <c r="F77" s="1"/>
      <c r="G77" s="8" t="s">
        <v>309</v>
      </c>
    </row>
    <row r="78" spans="1:7" x14ac:dyDescent="0.25">
      <c r="A78" s="2">
        <v>700</v>
      </c>
      <c r="B78" s="2" t="s">
        <v>197</v>
      </c>
      <c r="C78" s="1" t="s">
        <v>322</v>
      </c>
      <c r="D78" s="1" t="s">
        <v>76</v>
      </c>
      <c r="E78" s="1" t="s">
        <v>323</v>
      </c>
      <c r="F78" s="1"/>
      <c r="G78" s="8"/>
    </row>
    <row r="79" spans="1:7" x14ac:dyDescent="0.25">
      <c r="A79" s="2">
        <v>701</v>
      </c>
      <c r="B79" s="2" t="s">
        <v>197</v>
      </c>
      <c r="C79" s="1" t="s">
        <v>328</v>
      </c>
      <c r="D79" s="1" t="s">
        <v>77</v>
      </c>
      <c r="E79" s="1" t="s">
        <v>324</v>
      </c>
      <c r="F79" s="1"/>
      <c r="G79" s="8"/>
    </row>
    <row r="80" spans="1:7" x14ac:dyDescent="0.25">
      <c r="A80" s="2">
        <v>702</v>
      </c>
      <c r="B80" s="2" t="s">
        <v>197</v>
      </c>
      <c r="C80" s="1" t="s">
        <v>330</v>
      </c>
      <c r="D80" s="1" t="s">
        <v>78</v>
      </c>
      <c r="E80" s="1" t="s">
        <v>332</v>
      </c>
      <c r="F80" s="1"/>
      <c r="G80" s="8"/>
    </row>
    <row r="81" spans="1:7" x14ac:dyDescent="0.25">
      <c r="A81" s="2">
        <v>703</v>
      </c>
      <c r="B81" s="2" t="s">
        <v>197</v>
      </c>
      <c r="C81" s="1" t="s">
        <v>331</v>
      </c>
      <c r="D81" s="1" t="s">
        <v>80</v>
      </c>
      <c r="E81" s="1" t="s">
        <v>333</v>
      </c>
      <c r="F81" s="1"/>
      <c r="G81" s="8"/>
    </row>
    <row r="82" spans="1:7" x14ac:dyDescent="0.25">
      <c r="A82" s="2">
        <v>704</v>
      </c>
      <c r="B82" s="2" t="s">
        <v>197</v>
      </c>
      <c r="C82" s="1" t="s">
        <v>329</v>
      </c>
      <c r="D82" s="1" t="s">
        <v>81</v>
      </c>
      <c r="E82" s="1" t="s">
        <v>325</v>
      </c>
      <c r="F82" s="1"/>
      <c r="G82" s="8"/>
    </row>
    <row r="83" spans="1:7" x14ac:dyDescent="0.25">
      <c r="A83" s="2">
        <v>705</v>
      </c>
      <c r="B83" s="2" t="s">
        <v>197</v>
      </c>
      <c r="C83" s="1" t="s">
        <v>327</v>
      </c>
      <c r="D83" s="1" t="s">
        <v>82</v>
      </c>
      <c r="E83" s="1" t="s">
        <v>326</v>
      </c>
      <c r="F83" s="1"/>
      <c r="G83" s="8"/>
    </row>
  </sheetData>
  <sheetProtection sheet="1" formatColumns="0" formatRows="0" insertRows="0" sort="0" autoFilter="0"/>
  <mergeCells count="11">
    <mergeCell ref="A5:B5"/>
    <mergeCell ref="C5:D5"/>
    <mergeCell ref="A6:B6"/>
    <mergeCell ref="C6:D6"/>
    <mergeCell ref="A1:D1"/>
    <mergeCell ref="A2:B2"/>
    <mergeCell ref="C2:D2"/>
    <mergeCell ref="A3:B3"/>
    <mergeCell ref="C3:D3"/>
    <mergeCell ref="A4:B4"/>
    <mergeCell ref="C4:D4"/>
  </mergeCells>
  <phoneticPr fontId="5" type="noConversion"/>
  <pageMargins left="0.25" right="0.125" top="0.25" bottom="0.25" header="0" footer="0"/>
  <pageSetup paperSize="3" scale="80" fitToHeight="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7947D-BF3B-4500-AF2E-BF4C2E9AF555}">
  <sheetPr codeName="Sheet4"/>
  <dimension ref="A1:Q29"/>
  <sheetViews>
    <sheetView workbookViewId="0">
      <selection activeCell="I9" sqref="I9"/>
    </sheetView>
  </sheetViews>
  <sheetFormatPr defaultRowHeight="15" x14ac:dyDescent="0.25"/>
  <cols>
    <col min="1" max="1" width="10.85546875" style="1" customWidth="1"/>
    <col min="2" max="2" width="8" style="1" customWidth="1"/>
    <col min="3" max="3" width="19.28515625" style="1" customWidth="1"/>
    <col min="4" max="4" width="27.42578125" style="1" customWidth="1"/>
    <col min="5" max="5" width="11.42578125" style="1" customWidth="1"/>
    <col min="6" max="6" width="12" style="1" customWidth="1"/>
    <col min="7" max="7" width="10.85546875" style="1" customWidth="1"/>
    <col min="8" max="8" width="11.85546875" style="1" customWidth="1"/>
    <col min="9" max="9" width="72.85546875" style="1" customWidth="1"/>
    <col min="10" max="10" width="11.28515625" style="1" customWidth="1"/>
    <col min="11" max="11" width="15.7109375" style="1" customWidth="1"/>
    <col min="12" max="12" width="10.140625" style="1" customWidth="1"/>
    <col min="13" max="13" width="10" style="1" customWidth="1"/>
    <col min="14" max="14" width="14.85546875" style="1" customWidth="1"/>
    <col min="15" max="16384" width="9.140625" style="1"/>
  </cols>
  <sheetData>
    <row r="1" spans="1:17" ht="15.75" thickBot="1" x14ac:dyDescent="0.3">
      <c r="A1" s="70" t="s">
        <v>350</v>
      </c>
      <c r="B1" s="71"/>
      <c r="C1" s="71"/>
      <c r="D1" s="72"/>
    </row>
    <row r="2" spans="1:17" x14ac:dyDescent="0.25">
      <c r="A2" s="73" t="s">
        <v>351</v>
      </c>
      <c r="B2" s="74"/>
      <c r="C2" s="99">
        <f>Proj_Number</f>
        <v>20570</v>
      </c>
      <c r="D2" s="85"/>
      <c r="E2" s="41"/>
    </row>
    <row r="3" spans="1:17" x14ac:dyDescent="0.25">
      <c r="A3" s="73" t="s">
        <v>352</v>
      </c>
      <c r="B3" s="74"/>
      <c r="C3" s="102" t="str">
        <f>Proj_Customer</f>
        <v>Company</v>
      </c>
      <c r="D3" s="76"/>
    </row>
    <row r="4" spans="1:17" x14ac:dyDescent="0.25">
      <c r="A4" s="73" t="s">
        <v>353</v>
      </c>
      <c r="B4" s="74"/>
      <c r="C4" s="102" t="str">
        <f>Proj_Name</f>
        <v>600HP Face Reversing 4H Rolling Mill</v>
      </c>
      <c r="D4" s="76"/>
    </row>
    <row r="5" spans="1:17" x14ac:dyDescent="0.25">
      <c r="A5" s="73" t="s">
        <v>354</v>
      </c>
      <c r="B5" s="74"/>
      <c r="C5" s="102" t="str">
        <f>Proj_Specifications</f>
        <v>480VAC/60Hz/3P(Δ), 1200 AMP</v>
      </c>
      <c r="D5" s="76"/>
    </row>
    <row r="6" spans="1:17" ht="15.75" thickBot="1" x14ac:dyDescent="0.3">
      <c r="A6" s="77" t="s">
        <v>355</v>
      </c>
      <c r="B6" s="78"/>
      <c r="C6" s="103">
        <f>Last_Synced</f>
        <v>46063</v>
      </c>
      <c r="D6" s="80"/>
    </row>
    <row r="7" spans="1:17" x14ac:dyDescent="0.25">
      <c r="A7" s="42"/>
      <c r="B7" s="42"/>
      <c r="C7" s="43"/>
      <c r="D7" s="43"/>
    </row>
    <row r="8" spans="1:17" ht="15.75" thickBot="1" x14ac:dyDescent="0.3">
      <c r="A8" s="100"/>
      <c r="B8" s="100"/>
      <c r="C8" s="100"/>
      <c r="D8" s="100"/>
      <c r="E8" s="100"/>
    </row>
    <row r="9" spans="1:17" ht="20.25" customHeight="1" thickBot="1" x14ac:dyDescent="0.3">
      <c r="B9" s="70" t="s">
        <v>121</v>
      </c>
      <c r="C9" s="71"/>
      <c r="D9" s="71"/>
      <c r="E9" s="71"/>
      <c r="F9" s="71"/>
      <c r="G9" s="71"/>
      <c r="H9" s="72"/>
      <c r="I9" s="43" t="s">
        <v>774</v>
      </c>
      <c r="J9" s="70" t="s">
        <v>122</v>
      </c>
      <c r="K9" s="71"/>
      <c r="L9" s="71"/>
      <c r="M9" s="71"/>
      <c r="N9" s="72"/>
      <c r="O9" s="71" t="s">
        <v>123</v>
      </c>
      <c r="P9" s="72"/>
    </row>
    <row r="10" spans="1:17" ht="45" x14ac:dyDescent="0.25">
      <c r="A10" s="1" t="s">
        <v>335</v>
      </c>
      <c r="B10" s="1" t="s">
        <v>337</v>
      </c>
      <c r="C10" s="1" t="s">
        <v>0</v>
      </c>
      <c r="D10" s="1" t="s">
        <v>1</v>
      </c>
      <c r="E10" s="1" t="s">
        <v>345</v>
      </c>
      <c r="F10" s="1" t="s">
        <v>339</v>
      </c>
      <c r="G10" s="1" t="s">
        <v>346</v>
      </c>
      <c r="H10" s="1" t="s">
        <v>347</v>
      </c>
      <c r="I10" s="1" t="s">
        <v>2</v>
      </c>
      <c r="J10" s="1" t="s">
        <v>114</v>
      </c>
      <c r="K10" s="1" t="s">
        <v>115</v>
      </c>
      <c r="L10" s="1" t="s">
        <v>116</v>
      </c>
      <c r="M10" s="1" t="s">
        <v>109</v>
      </c>
      <c r="N10" s="1" t="s">
        <v>129</v>
      </c>
      <c r="O10" s="1" t="s">
        <v>111</v>
      </c>
      <c r="P10" s="1" t="s">
        <v>118</v>
      </c>
      <c r="Q10" s="1" t="s">
        <v>117</v>
      </c>
    </row>
    <row r="11" spans="1:17" x14ac:dyDescent="0.25">
      <c r="A11" s="12"/>
      <c r="B11" s="12"/>
      <c r="F11" s="29"/>
      <c r="G11" s="29"/>
      <c r="H11" s="29"/>
      <c r="I11" s="29"/>
      <c r="J11" s="29"/>
      <c r="K11" s="29"/>
      <c r="L11" s="29"/>
      <c r="M11" s="29"/>
      <c r="N11" s="29"/>
      <c r="O11" s="29"/>
      <c r="P11" s="29"/>
      <c r="Q11" s="29"/>
    </row>
    <row r="18" spans="5:8" ht="15.75" thickBot="1" x14ac:dyDescent="0.3"/>
    <row r="19" spans="5:8" ht="15.75" thickBot="1" x14ac:dyDescent="0.3">
      <c r="E19" s="101" t="s">
        <v>120</v>
      </c>
      <c r="F19" s="71"/>
      <c r="G19" s="72"/>
    </row>
    <row r="20" spans="5:8" ht="15.75" thickBot="1" x14ac:dyDescent="0.3">
      <c r="E20" s="44"/>
      <c r="F20" s="27" t="s">
        <v>116</v>
      </c>
      <c r="G20" s="28" t="s">
        <v>119</v>
      </c>
    </row>
    <row r="21" spans="5:8" x14ac:dyDescent="0.25">
      <c r="E21" s="45" t="s">
        <v>112</v>
      </c>
      <c r="F21" s="6"/>
      <c r="G21" s="7"/>
    </row>
    <row r="22" spans="5:8" ht="45.75" thickBot="1" x14ac:dyDescent="0.3">
      <c r="E22" s="45" t="s">
        <v>110</v>
      </c>
      <c r="F22" s="18" t="s">
        <v>125</v>
      </c>
      <c r="G22" s="18" t="s">
        <v>125</v>
      </c>
      <c r="H22" s="1" t="s">
        <v>126</v>
      </c>
    </row>
    <row r="23" spans="5:8" ht="15.75" thickBot="1" x14ac:dyDescent="0.3">
      <c r="E23" s="45"/>
      <c r="F23" s="27" t="s">
        <v>111</v>
      </c>
      <c r="G23" s="28" t="s">
        <v>118</v>
      </c>
    </row>
    <row r="24" spans="5:8" ht="15.75" thickBot="1" x14ac:dyDescent="0.3">
      <c r="E24" s="46" t="s">
        <v>113</v>
      </c>
      <c r="F24" s="47"/>
      <c r="G24" s="48"/>
    </row>
    <row r="27" spans="5:8" ht="15.75" thickBot="1" x14ac:dyDescent="0.3"/>
    <row r="28" spans="5:8" ht="15.75" thickBot="1" x14ac:dyDescent="0.3">
      <c r="E28" s="101" t="s">
        <v>128</v>
      </c>
      <c r="F28" s="71"/>
      <c r="G28" s="72"/>
    </row>
    <row r="29" spans="5:8" x14ac:dyDescent="0.25">
      <c r="E29" s="1" t="s">
        <v>127</v>
      </c>
    </row>
  </sheetData>
  <sheetProtection sheet="1" formatColumns="0" formatRows="0" insertRows="0" sort="0" autoFilter="0"/>
  <mergeCells count="18">
    <mergeCell ref="E28:G28"/>
    <mergeCell ref="C3:D3"/>
    <mergeCell ref="C4:D4"/>
    <mergeCell ref="C5:D5"/>
    <mergeCell ref="O9:P9"/>
    <mergeCell ref="E19:G19"/>
    <mergeCell ref="C6:D6"/>
    <mergeCell ref="C8:E8"/>
    <mergeCell ref="A1:D1"/>
    <mergeCell ref="A2:B2"/>
    <mergeCell ref="C2:D2"/>
    <mergeCell ref="J9:N9"/>
    <mergeCell ref="B9:H9"/>
    <mergeCell ref="A3:B3"/>
    <mergeCell ref="A4:B4"/>
    <mergeCell ref="A5:B5"/>
    <mergeCell ref="A6:B6"/>
    <mergeCell ref="A8:B8"/>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5F4C3-0ECB-4045-A49B-D25F35B6AEAC}">
  <sheetPr codeName="Sheet5"/>
  <dimension ref="A1:Z20"/>
  <sheetViews>
    <sheetView zoomScale="85" zoomScaleNormal="85" workbookViewId="0">
      <selection activeCell="D15" sqref="D15"/>
    </sheetView>
  </sheetViews>
  <sheetFormatPr defaultRowHeight="15" x14ac:dyDescent="0.25"/>
  <cols>
    <col min="1" max="1" width="11.85546875" style="3" customWidth="1"/>
    <col min="2" max="2" width="14.85546875" style="3" customWidth="1"/>
    <col min="3" max="3" width="17.5703125" style="3" customWidth="1"/>
    <col min="4" max="4" width="33.5703125" style="3" customWidth="1"/>
    <col min="5" max="5" width="11.42578125" style="3" customWidth="1"/>
    <col min="6" max="6" width="11.7109375" style="3" customWidth="1"/>
    <col min="7" max="7" width="12.140625" style="3" customWidth="1"/>
    <col min="8" max="8" width="12.85546875" style="3" customWidth="1"/>
    <col min="9" max="9" width="12.7109375" style="3" customWidth="1"/>
    <col min="10" max="10" width="21.7109375" style="3" customWidth="1"/>
    <col min="11" max="11" width="13.7109375" style="3" customWidth="1"/>
    <col min="12" max="12" width="17.140625" style="3" customWidth="1"/>
    <col min="13" max="13" width="14.42578125" style="3" customWidth="1"/>
    <col min="14" max="14" width="14.7109375" style="3" customWidth="1"/>
    <col min="15" max="15" width="13.5703125" style="3" customWidth="1"/>
    <col min="16" max="24" width="9.140625" style="3"/>
    <col min="25" max="25" width="22.7109375" style="3" customWidth="1"/>
    <col min="26" max="16384" width="9.140625" style="3"/>
  </cols>
  <sheetData>
    <row r="1" spans="1:26" ht="15.75" thickBot="1" x14ac:dyDescent="0.3">
      <c r="A1" s="70" t="s">
        <v>350</v>
      </c>
      <c r="B1" s="71"/>
      <c r="C1" s="71"/>
      <c r="D1" s="72"/>
      <c r="F1" s="70" t="s">
        <v>350</v>
      </c>
      <c r="G1" s="71"/>
      <c r="H1" s="72"/>
      <c r="I1" s="49"/>
    </row>
    <row r="2" spans="1:26" x14ac:dyDescent="0.25">
      <c r="A2" s="73" t="s">
        <v>351</v>
      </c>
      <c r="B2" s="74"/>
      <c r="C2" s="99">
        <f>Proj_Number</f>
        <v>20570</v>
      </c>
      <c r="D2" s="85"/>
      <c r="F2" s="73" t="s">
        <v>394</v>
      </c>
      <c r="G2" s="74"/>
      <c r="H2" s="50">
        <v>90</v>
      </c>
      <c r="I2" s="51"/>
    </row>
    <row r="3" spans="1:26" x14ac:dyDescent="0.25">
      <c r="A3" s="73" t="s">
        <v>352</v>
      </c>
      <c r="B3" s="74"/>
      <c r="C3" s="102" t="str">
        <f>Proj_Customer</f>
        <v>Company</v>
      </c>
      <c r="D3" s="76"/>
      <c r="F3" s="73" t="s">
        <v>395</v>
      </c>
      <c r="G3" s="74"/>
      <c r="H3" s="52">
        <v>5</v>
      </c>
      <c r="I3" s="51"/>
    </row>
    <row r="4" spans="1:26" x14ac:dyDescent="0.25">
      <c r="A4" s="73" t="s">
        <v>353</v>
      </c>
      <c r="B4" s="74"/>
      <c r="C4" s="102" t="str">
        <f>Proj_Name</f>
        <v>600HP Face Reversing 4H Rolling Mill</v>
      </c>
      <c r="D4" s="76"/>
      <c r="F4" s="73" t="s">
        <v>383</v>
      </c>
      <c r="G4" s="105"/>
      <c r="H4" s="52">
        <f>SUM(Heat_Noise_Totals[Total Heat Load (BTU/Hr)])</f>
        <v>2803.5797275980317</v>
      </c>
      <c r="I4" s="51"/>
    </row>
    <row r="5" spans="1:26" ht="15.75" thickBot="1" x14ac:dyDescent="0.3">
      <c r="A5" s="73" t="s">
        <v>354</v>
      </c>
      <c r="B5" s="74"/>
      <c r="C5" s="102" t="str">
        <f>Proj_Specifications</f>
        <v>480VAC/60Hz/3P(Δ), 1200 AMP</v>
      </c>
      <c r="D5" s="76"/>
      <c r="F5" s="77" t="s">
        <v>384</v>
      </c>
      <c r="G5" s="78"/>
      <c r="H5" s="53">
        <f>SUM(Heat_Noise_Totals[Noise (dB)])</f>
        <v>0</v>
      </c>
      <c r="I5" s="51"/>
    </row>
    <row r="6" spans="1:26" ht="15.75" thickBot="1" x14ac:dyDescent="0.3">
      <c r="A6" s="77" t="s">
        <v>355</v>
      </c>
      <c r="B6" s="78"/>
      <c r="C6" s="103">
        <f>Last_Synced</f>
        <v>46063</v>
      </c>
      <c r="D6" s="80"/>
      <c r="I6" s="54"/>
    </row>
    <row r="7" spans="1:26" ht="15.75" thickBot="1" x14ac:dyDescent="0.3"/>
    <row r="8" spans="1:26" ht="45" x14ac:dyDescent="0.25">
      <c r="C8" s="22" t="s">
        <v>363</v>
      </c>
      <c r="D8" s="7" t="s">
        <v>2</v>
      </c>
      <c r="E8" s="5" t="s">
        <v>375</v>
      </c>
      <c r="F8" s="6" t="s">
        <v>373</v>
      </c>
      <c r="G8" s="6" t="s">
        <v>372</v>
      </c>
      <c r="H8" s="6" t="s">
        <v>371</v>
      </c>
      <c r="I8" s="7" t="s">
        <v>370</v>
      </c>
      <c r="J8" s="5" t="s">
        <v>382</v>
      </c>
      <c r="K8" s="6" t="s">
        <v>369</v>
      </c>
      <c r="L8" s="6" t="s">
        <v>381</v>
      </c>
      <c r="M8" s="7" t="s">
        <v>374</v>
      </c>
      <c r="N8" s="10" t="s">
        <v>358</v>
      </c>
      <c r="O8" s="1"/>
      <c r="P8" s="1"/>
      <c r="Q8" s="1"/>
      <c r="R8" s="1"/>
      <c r="S8" s="1"/>
      <c r="T8" s="1"/>
      <c r="U8" s="1"/>
      <c r="V8" s="1"/>
      <c r="W8" s="1"/>
      <c r="X8" s="1"/>
      <c r="Y8" s="1"/>
      <c r="Z8" s="1"/>
    </row>
    <row r="9" spans="1:26" s="1" customFormat="1" ht="30" x14ac:dyDescent="0.25">
      <c r="C9" s="23" t="s">
        <v>388</v>
      </c>
      <c r="D9" s="24" t="s">
        <v>387</v>
      </c>
      <c r="E9" s="11" t="s">
        <v>125</v>
      </c>
      <c r="F9" s="12" t="s">
        <v>125</v>
      </c>
      <c r="G9" s="12" t="s">
        <v>125</v>
      </c>
      <c r="H9" s="12" t="s">
        <v>125</v>
      </c>
      <c r="I9" s="13" t="s">
        <v>125</v>
      </c>
      <c r="J9" s="11" t="s">
        <v>125</v>
      </c>
      <c r="K9" s="12"/>
      <c r="L9" s="12" t="s">
        <v>125</v>
      </c>
      <c r="M9" s="14">
        <f>Heat_Noise_Totals[[#This Row],[Heat Load (BTU/Hr)]]</f>
        <v>0</v>
      </c>
      <c r="N9" s="15"/>
      <c r="O9" s="3"/>
      <c r="P9" s="104" t="s">
        <v>393</v>
      </c>
      <c r="Q9" s="104"/>
      <c r="R9" s="104"/>
      <c r="S9" s="104"/>
      <c r="T9" s="104"/>
      <c r="U9" s="104"/>
      <c r="V9" s="104"/>
      <c r="W9" s="104"/>
      <c r="X9" s="104"/>
      <c r="Y9" s="104"/>
      <c r="Z9" s="104"/>
    </row>
    <row r="10" spans="1:26" x14ac:dyDescent="0.25">
      <c r="C10" s="23" t="s">
        <v>360</v>
      </c>
      <c r="D10" s="24" t="s">
        <v>368</v>
      </c>
      <c r="E10" s="11">
        <v>86</v>
      </c>
      <c r="F10" s="1">
        <v>86</v>
      </c>
      <c r="G10" s="1">
        <v>236</v>
      </c>
      <c r="H10" s="1">
        <v>24</v>
      </c>
      <c r="I10" s="14">
        <f>((2*Heat_Noise_Totals[[#This Row],[Height
(in)]]*Heat_Noise_Totals[[#This Row],[Width
(in)]])+(2*Heat_Noise_Totals[[#This Row],[Width
(in)]]*Heat_Noise_Totals[[#This Row],[Depth
(in)]])+(2*Heat_Noise_Totals[[#This Row],[Height
(in)]]*Heat_Noise_Totals[[#This Row],[Depth
(in)]])) / 144</f>
        <v>389.22222222222223</v>
      </c>
      <c r="J10" s="11">
        <f>IF(Heat_Noise_Totals[[#This Row],[Target Cabinet Temp (°F)]]=0, 0, Max_Amb_Plant_Temp - Heat_Noise_Totals[[#This Row],[Target Cabinet Temp (°F)]])</f>
        <v>4</v>
      </c>
      <c r="K10" s="16"/>
      <c r="L10" s="16">
        <f>Heat_Noise_Totals[[#This Row],[Surface Area (ft^2)]]*3.412141633*(Heat_Noise_Totals[[#This Row],[Temp Differential (∆°F)]]*0.583-0.221)</f>
        <v>2803.5797275980317</v>
      </c>
      <c r="M10" s="14">
        <f>Heat_Noise_Totals[[#This Row],[Heat Load (External) (BTU/Hr)]]+Heat_Noise_Totals[[#This Row],[Heat Load (BTU/Hr)]]</f>
        <v>2803.5797275980317</v>
      </c>
      <c r="N10" s="15"/>
      <c r="P10" s="104" t="s">
        <v>389</v>
      </c>
      <c r="Q10" s="104"/>
      <c r="R10" s="104"/>
      <c r="S10" s="104"/>
      <c r="T10" s="104"/>
      <c r="U10" s="104"/>
      <c r="V10" s="104"/>
      <c r="W10" s="104"/>
      <c r="X10" s="104"/>
      <c r="Y10" s="104"/>
      <c r="Z10" s="104"/>
    </row>
    <row r="11" spans="1:26" x14ac:dyDescent="0.25">
      <c r="C11" s="23" t="s">
        <v>361</v>
      </c>
      <c r="D11" s="24" t="s">
        <v>364</v>
      </c>
      <c r="E11" s="11"/>
      <c r="F11" s="1"/>
      <c r="G11" s="1"/>
      <c r="H11" s="1"/>
      <c r="I11" s="14">
        <f>((2*Heat_Noise_Totals[[#This Row],[Height
(in)]]*Heat_Noise_Totals[[#This Row],[Width
(in)]])+(2*Heat_Noise_Totals[[#This Row],[Width
(in)]]*Heat_Noise_Totals[[#This Row],[Depth
(in)]])+(2*Heat_Noise_Totals[[#This Row],[Height
(in)]]*Heat_Noise_Totals[[#This Row],[Depth
(in)]])) / 144</f>
        <v>0</v>
      </c>
      <c r="J11" s="11">
        <f>IF(Heat_Noise_Totals[[#This Row],[Target Cabinet Temp (°F)]]=0, 0, Max_Amb_Plant_Temp - Heat_Noise_Totals[[#This Row],[Target Cabinet Temp (°F)]])</f>
        <v>0</v>
      </c>
      <c r="K11" s="16"/>
      <c r="L11" s="16">
        <f>Heat_Noise_Totals[[#This Row],[Surface Area (ft^2)]]*3.412141633*(Heat_Noise_Totals[[#This Row],[Temp Differential (∆°F)]]*0.583-0.221)</f>
        <v>0</v>
      </c>
      <c r="M11" s="14">
        <f>Heat_Noise_Totals[[#This Row],[Heat Load (External) (BTU/Hr)]]+Heat_Noise_Totals[[#This Row],[Heat Load (BTU/Hr)]]</f>
        <v>0</v>
      </c>
      <c r="N11" s="15"/>
      <c r="P11" s="104" t="s">
        <v>390</v>
      </c>
      <c r="Q11" s="104"/>
      <c r="R11" s="104"/>
      <c r="S11" s="104"/>
      <c r="T11" s="104"/>
      <c r="U11" s="104"/>
      <c r="V11" s="104"/>
      <c r="W11" s="104"/>
      <c r="X11" s="104"/>
      <c r="Y11" s="104"/>
      <c r="Z11" s="104"/>
    </row>
    <row r="12" spans="1:26" x14ac:dyDescent="0.25">
      <c r="C12" s="23" t="s">
        <v>362</v>
      </c>
      <c r="D12" s="24" t="s">
        <v>365</v>
      </c>
      <c r="E12" s="11"/>
      <c r="F12" s="1"/>
      <c r="G12" s="1"/>
      <c r="H12" s="1"/>
      <c r="I12" s="14">
        <f>((2*Heat_Noise_Totals[[#This Row],[Height
(in)]]*Heat_Noise_Totals[[#This Row],[Width
(in)]])+(2*Heat_Noise_Totals[[#This Row],[Width
(in)]]*Heat_Noise_Totals[[#This Row],[Depth
(in)]])+(2*Heat_Noise_Totals[[#This Row],[Height
(in)]]*Heat_Noise_Totals[[#This Row],[Depth
(in)]])) / 144</f>
        <v>0</v>
      </c>
      <c r="J12" s="11">
        <f>IF(Heat_Noise_Totals[[#This Row],[Target Cabinet Temp (°F)]]=0, 0, Max_Amb_Plant_Temp - Heat_Noise_Totals[[#This Row],[Target Cabinet Temp (°F)]])</f>
        <v>0</v>
      </c>
      <c r="K12" s="16"/>
      <c r="L12" s="16">
        <f>Heat_Noise_Totals[[#This Row],[Surface Area (ft^2)]]*3.412141633*(Heat_Noise_Totals[[#This Row],[Temp Differential (∆°F)]]*0.583-0.221)</f>
        <v>0</v>
      </c>
      <c r="M12" s="14">
        <f>Heat_Noise_Totals[[#This Row],[Heat Load (External) (BTU/Hr)]]+Heat_Noise_Totals[[#This Row],[Heat Load (BTU/Hr)]]</f>
        <v>0</v>
      </c>
      <c r="N12" s="15"/>
    </row>
    <row r="13" spans="1:26" x14ac:dyDescent="0.25">
      <c r="C13" s="23" t="s">
        <v>385</v>
      </c>
      <c r="D13" s="24" t="s">
        <v>386</v>
      </c>
      <c r="E13" s="11"/>
      <c r="F13" s="12"/>
      <c r="G13" s="12"/>
      <c r="H13" s="12"/>
      <c r="I13" s="14">
        <f>((2*Heat_Noise_Totals[[#This Row],[Height
(in)]]*Heat_Noise_Totals[[#This Row],[Width
(in)]])+(2*Heat_Noise_Totals[[#This Row],[Width
(in)]]*Heat_Noise_Totals[[#This Row],[Depth
(in)]])+(2*Heat_Noise_Totals[[#This Row],[Height
(in)]]*Heat_Noise_Totals[[#This Row],[Depth
(in)]])) / 144</f>
        <v>0</v>
      </c>
      <c r="J13" s="11">
        <f>IF(Heat_Noise_Totals[[#This Row],[Target Cabinet Temp (°F)]]=0, 0, Max_Amb_Plant_Temp - Heat_Noise_Totals[[#This Row],[Target Cabinet Temp (°F)]])</f>
        <v>0</v>
      </c>
      <c r="K13" s="16"/>
      <c r="L13" s="16">
        <f>Heat_Noise_Totals[[#This Row],[Surface Area (ft^2)]]*3.412141633*(Heat_Noise_Totals[[#This Row],[Temp Differential (∆°F)]]*0.583-0.221)</f>
        <v>0</v>
      </c>
      <c r="M13" s="14">
        <f>Heat_Noise_Totals[[#This Row],[Heat Load (External) (BTU/Hr)]]+Heat_Noise_Totals[[#This Row],[Heat Load (BTU/Hr)]]</f>
        <v>0</v>
      </c>
      <c r="N13" s="15"/>
    </row>
    <row r="14" spans="1:26" ht="15.75" thickBot="1" x14ac:dyDescent="0.3">
      <c r="C14" s="25" t="s">
        <v>367</v>
      </c>
      <c r="D14" s="26" t="s">
        <v>366</v>
      </c>
      <c r="E14" s="17"/>
      <c r="F14" s="18"/>
      <c r="G14" s="18"/>
      <c r="H14" s="18"/>
      <c r="I14" s="19">
        <f>((2*Heat_Noise_Totals[[#This Row],[Height
(in)]]*Heat_Noise_Totals[[#This Row],[Width
(in)]])+(2*Heat_Noise_Totals[[#This Row],[Width
(in)]]*Heat_Noise_Totals[[#This Row],[Depth
(in)]])+(2*Heat_Noise_Totals[[#This Row],[Height
(in)]]*Heat_Noise_Totals[[#This Row],[Depth
(in)]])) / 144</f>
        <v>0</v>
      </c>
      <c r="J14" s="17">
        <f>IF(Heat_Noise_Totals[[#This Row],[Target Cabinet Temp (°F)]]=0, 0, Max_Amb_Plant_Temp - Heat_Noise_Totals[[#This Row],[Target Cabinet Temp (°F)]])</f>
        <v>0</v>
      </c>
      <c r="K14" s="20"/>
      <c r="L14" s="20">
        <f>Heat_Noise_Totals[[#This Row],[Surface Area (ft^2)]]*3.412141633*(Heat_Noise_Totals[[#This Row],[Temp Differential (∆°F)]]*0.583-0.221)</f>
        <v>0</v>
      </c>
      <c r="M14" s="19">
        <f>Heat_Noise_Totals[[#This Row],[Heat Load (External) (BTU/Hr)]]+Heat_Noise_Totals[[#This Row],[Heat Load (BTU/Hr)]]</f>
        <v>0</v>
      </c>
      <c r="N14" s="21"/>
    </row>
    <row r="15" spans="1:26" ht="30" x14ac:dyDescent="0.25">
      <c r="C15" s="1"/>
      <c r="D15" s="1"/>
      <c r="E15" s="1"/>
      <c r="F15" s="1"/>
      <c r="G15" s="1"/>
      <c r="H15" s="1"/>
      <c r="I15" s="1"/>
      <c r="J15" s="1" t="s">
        <v>378</v>
      </c>
      <c r="K15" s="1" t="s">
        <v>377</v>
      </c>
      <c r="L15" s="1" t="s">
        <v>379</v>
      </c>
      <c r="M15" s="1" t="s">
        <v>376</v>
      </c>
      <c r="N15" s="1"/>
    </row>
    <row r="16" spans="1:26" ht="30" x14ac:dyDescent="0.25">
      <c r="C16" s="1"/>
      <c r="D16" s="1"/>
      <c r="E16" s="1"/>
      <c r="F16" s="1"/>
      <c r="G16" s="1"/>
      <c r="H16" s="1"/>
      <c r="I16" s="1"/>
      <c r="K16" s="1"/>
      <c r="L16" s="1" t="s">
        <v>380</v>
      </c>
    </row>
    <row r="18" spans="1:15" ht="60" x14ac:dyDescent="0.25">
      <c r="A18" s="1"/>
      <c r="B18" s="1"/>
      <c r="C18" s="1"/>
      <c r="D18" s="1"/>
      <c r="E18" s="1"/>
      <c r="J18" s="43" t="s">
        <v>774</v>
      </c>
    </row>
    <row r="19" spans="1:15" ht="45" x14ac:dyDescent="0.25">
      <c r="A19" s="1" t="s">
        <v>335</v>
      </c>
      <c r="B19" s="1" t="s">
        <v>359</v>
      </c>
      <c r="C19" s="1" t="s">
        <v>0</v>
      </c>
      <c r="D19" s="1" t="s">
        <v>1</v>
      </c>
      <c r="E19" s="1" t="s">
        <v>337</v>
      </c>
      <c r="F19" s="1" t="s">
        <v>345</v>
      </c>
      <c r="G19" s="1" t="s">
        <v>106</v>
      </c>
      <c r="H19" s="1" t="s">
        <v>107</v>
      </c>
      <c r="I19" s="1" t="s">
        <v>108</v>
      </c>
      <c r="J19" s="1" t="s">
        <v>2</v>
      </c>
      <c r="K19" s="1" t="s">
        <v>109</v>
      </c>
      <c r="L19" s="1" t="s">
        <v>357</v>
      </c>
      <c r="M19" s="1" t="s">
        <v>391</v>
      </c>
      <c r="N19" s="1" t="s">
        <v>392</v>
      </c>
      <c r="O19" s="1" t="s">
        <v>358</v>
      </c>
    </row>
    <row r="20" spans="1:15" x14ac:dyDescent="0.25">
      <c r="A20" s="12"/>
      <c r="B20" s="29"/>
      <c r="C20" s="1"/>
      <c r="D20" s="1"/>
      <c r="E20" s="12"/>
      <c r="F20" s="1"/>
      <c r="G20" s="1"/>
      <c r="H20" s="1"/>
      <c r="I20" s="1"/>
      <c r="J20" s="29"/>
      <c r="K20" s="55"/>
      <c r="L20" s="55"/>
      <c r="M20" s="29"/>
      <c r="N20" s="55"/>
      <c r="O20" s="55"/>
    </row>
  </sheetData>
  <sheetProtection sheet="1" formatColumns="0" formatRows="0" insertRows="0" sort="0" autoFilter="0"/>
  <mergeCells count="19">
    <mergeCell ref="F1:H1"/>
    <mergeCell ref="A5:B5"/>
    <mergeCell ref="C5:D5"/>
    <mergeCell ref="A6:B6"/>
    <mergeCell ref="C6:D6"/>
    <mergeCell ref="F2:G2"/>
    <mergeCell ref="F3:G3"/>
    <mergeCell ref="A1:D1"/>
    <mergeCell ref="A2:B2"/>
    <mergeCell ref="C2:D2"/>
    <mergeCell ref="A3:B3"/>
    <mergeCell ref="C3:D3"/>
    <mergeCell ref="A4:B4"/>
    <mergeCell ref="C4:D4"/>
    <mergeCell ref="P10:Z10"/>
    <mergeCell ref="P11:Z11"/>
    <mergeCell ref="P9:Z9"/>
    <mergeCell ref="F4:G4"/>
    <mergeCell ref="F5:G5"/>
  </mergeCells>
  <dataValidations count="2">
    <dataValidation type="list" allowBlank="1" showInputMessage="1" showErrorMessage="1" sqref="M20:N20" xr:uid="{9D3ACD1A-BF79-4EAF-B822-9488B82DFB55}">
      <formula1>"%, HP, W, kW, BTU/hr"</formula1>
    </dataValidation>
    <dataValidation type="list" allowBlank="1" showInputMessage="1" showErrorMessage="1" sqref="B20" xr:uid="{CC2972BC-9E7E-432E-980D-042DAC253A07}">
      <formula1>$C$9:$C$14</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6202D-42BE-407A-A651-2DE812DF9033}">
  <sheetPr codeName="Sheet7"/>
  <dimension ref="A1:D6"/>
  <sheetViews>
    <sheetView workbookViewId="0">
      <selection activeCell="G11" sqref="G11"/>
    </sheetView>
  </sheetViews>
  <sheetFormatPr defaultRowHeight="15" x14ac:dyDescent="0.25"/>
  <cols>
    <col min="1" max="3" width="9.140625" style="9"/>
    <col min="4" max="4" width="23.85546875" style="9" customWidth="1"/>
    <col min="5" max="16384" width="9.140625" style="9"/>
  </cols>
  <sheetData>
    <row r="1" spans="1:4" ht="15.75" thickBot="1" x14ac:dyDescent="0.3">
      <c r="A1" s="70" t="s">
        <v>350</v>
      </c>
      <c r="B1" s="71"/>
      <c r="C1" s="71"/>
      <c r="D1" s="72"/>
    </row>
    <row r="2" spans="1:4" x14ac:dyDescent="0.25">
      <c r="A2" s="73" t="s">
        <v>351</v>
      </c>
      <c r="B2" s="74"/>
      <c r="C2" s="99">
        <f>Proj_Number</f>
        <v>20570</v>
      </c>
      <c r="D2" s="85"/>
    </row>
    <row r="3" spans="1:4" x14ac:dyDescent="0.25">
      <c r="A3" s="73" t="s">
        <v>352</v>
      </c>
      <c r="B3" s="74"/>
      <c r="C3" s="102" t="str">
        <f>Proj_Customer</f>
        <v>Company</v>
      </c>
      <c r="D3" s="76"/>
    </row>
    <row r="4" spans="1:4" x14ac:dyDescent="0.25">
      <c r="A4" s="73" t="s">
        <v>353</v>
      </c>
      <c r="B4" s="74"/>
      <c r="C4" s="102" t="str">
        <f>Proj_Name</f>
        <v>600HP Face Reversing 4H Rolling Mill</v>
      </c>
      <c r="D4" s="76"/>
    </row>
    <row r="5" spans="1:4" x14ac:dyDescent="0.25">
      <c r="A5" s="73" t="s">
        <v>354</v>
      </c>
      <c r="B5" s="74"/>
      <c r="C5" s="102" t="str">
        <f>Proj_Specifications</f>
        <v>480VAC/60Hz/3P(Δ), 1200 AMP</v>
      </c>
      <c r="D5" s="76"/>
    </row>
    <row r="6" spans="1:4" ht="15.75" thickBot="1" x14ac:dyDescent="0.3">
      <c r="A6" s="77" t="s">
        <v>355</v>
      </c>
      <c r="B6" s="78"/>
      <c r="C6" s="103">
        <f>Last_Synced</f>
        <v>46063</v>
      </c>
      <c r="D6" s="80"/>
    </row>
  </sheetData>
  <mergeCells count="11">
    <mergeCell ref="A5:B5"/>
    <mergeCell ref="C5:D5"/>
    <mergeCell ref="A6:B6"/>
    <mergeCell ref="C6:D6"/>
    <mergeCell ref="A1:D1"/>
    <mergeCell ref="A2:B2"/>
    <mergeCell ref="C2:D2"/>
    <mergeCell ref="A3:B3"/>
    <mergeCell ref="C3:D3"/>
    <mergeCell ref="A4:B4"/>
    <mergeCell ref="C4:D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5070-D43C-4A79-A505-7CB03655513F}">
  <sheetPr codeName="Sheet8"/>
  <dimension ref="A1:J221"/>
  <sheetViews>
    <sheetView workbookViewId="0">
      <selection activeCell="D1" sqref="D1:J1"/>
    </sheetView>
  </sheetViews>
  <sheetFormatPr defaultRowHeight="15" x14ac:dyDescent="0.25"/>
  <cols>
    <col min="1" max="1" width="14.140625" style="3" bestFit="1" customWidth="1"/>
    <col min="2" max="2" width="7.42578125" style="3" bestFit="1" customWidth="1"/>
    <col min="3" max="3" width="8.7109375" style="3" bestFit="1" customWidth="1"/>
    <col min="4" max="4" width="19.85546875" style="3" bestFit="1" customWidth="1"/>
    <col min="5" max="5" width="39" style="3" bestFit="1" customWidth="1"/>
    <col min="6" max="6" width="11.42578125" style="3" bestFit="1" customWidth="1"/>
    <col min="7" max="7" width="6.85546875" style="3" bestFit="1" customWidth="1"/>
    <col min="8" max="8" width="8.42578125" style="3" bestFit="1" customWidth="1"/>
    <col min="9" max="10" width="81.140625" style="3" bestFit="1" customWidth="1"/>
    <col min="11" max="16384" width="9.140625" style="3"/>
  </cols>
  <sheetData>
    <row r="1" spans="1:10" ht="60.75" customHeight="1" x14ac:dyDescent="0.25">
      <c r="D1" s="104" t="s">
        <v>408</v>
      </c>
      <c r="E1" s="104"/>
      <c r="F1" s="104"/>
      <c r="G1" s="104"/>
      <c r="H1" s="104"/>
      <c r="I1" s="104"/>
      <c r="J1" s="104"/>
    </row>
    <row r="3" spans="1:10" x14ac:dyDescent="0.25">
      <c r="A3" s="3" t="s">
        <v>396</v>
      </c>
      <c r="B3" s="3" t="s">
        <v>402</v>
      </c>
      <c r="C3" s="3" t="s">
        <v>115</v>
      </c>
      <c r="D3" s="3" t="s">
        <v>0</v>
      </c>
      <c r="E3" s="3" t="s">
        <v>1</v>
      </c>
      <c r="F3" s="3" t="s">
        <v>400</v>
      </c>
      <c r="G3" s="3" t="s">
        <v>337</v>
      </c>
      <c r="H3" s="3" t="s">
        <v>409</v>
      </c>
      <c r="I3" s="3" t="s">
        <v>397</v>
      </c>
      <c r="J3" s="3" t="s">
        <v>398</v>
      </c>
    </row>
    <row r="4" spans="1:10" x14ac:dyDescent="0.25">
      <c r="A4" s="9" t="s">
        <v>410</v>
      </c>
      <c r="B4" s="9">
        <v>1</v>
      </c>
      <c r="C4" s="9">
        <v>12</v>
      </c>
      <c r="D4" s="9" t="s">
        <v>413</v>
      </c>
      <c r="E4" s="9" t="s">
        <v>414</v>
      </c>
      <c r="F4" s="9">
        <v>1</v>
      </c>
      <c r="G4" s="9">
        <v>5</v>
      </c>
      <c r="H4" s="9">
        <v>5</v>
      </c>
      <c r="I4" s="9" t="s">
        <v>415</v>
      </c>
      <c r="J4" s="9" t="s">
        <v>775</v>
      </c>
    </row>
    <row r="5" spans="1:10" x14ac:dyDescent="0.25">
      <c r="A5" s="9" t="s">
        <v>410</v>
      </c>
      <c r="B5" s="9">
        <v>2</v>
      </c>
      <c r="C5" s="9">
        <v>12</v>
      </c>
      <c r="D5" s="9" t="s">
        <v>411</v>
      </c>
      <c r="E5" s="9" t="s">
        <v>426</v>
      </c>
      <c r="F5" s="9">
        <v>1</v>
      </c>
      <c r="G5" s="9">
        <v>1</v>
      </c>
      <c r="H5" s="9">
        <v>1</v>
      </c>
      <c r="I5" s="9" t="s">
        <v>427</v>
      </c>
      <c r="J5" s="9" t="s">
        <v>776</v>
      </c>
    </row>
    <row r="6" spans="1:10" x14ac:dyDescent="0.25">
      <c r="A6" s="9" t="s">
        <v>410</v>
      </c>
      <c r="B6" s="9">
        <v>3</v>
      </c>
      <c r="C6" s="9">
        <v>12</v>
      </c>
      <c r="D6" s="9" t="s">
        <v>411</v>
      </c>
      <c r="E6" s="9" t="s">
        <v>412</v>
      </c>
      <c r="F6" s="9">
        <v>1</v>
      </c>
      <c r="G6" s="9">
        <v>1</v>
      </c>
      <c r="H6" s="9">
        <v>1</v>
      </c>
      <c r="I6" s="9" t="s">
        <v>419</v>
      </c>
      <c r="J6" s="9" t="s">
        <v>777</v>
      </c>
    </row>
    <row r="7" spans="1:10" x14ac:dyDescent="0.25">
      <c r="A7" s="9" t="s">
        <v>410</v>
      </c>
      <c r="B7" s="9">
        <v>4</v>
      </c>
      <c r="C7" s="9">
        <v>12</v>
      </c>
      <c r="D7" s="9" t="s">
        <v>411</v>
      </c>
      <c r="E7" s="9" t="s">
        <v>420</v>
      </c>
      <c r="F7" s="9">
        <v>1</v>
      </c>
      <c r="G7" s="9">
        <v>1</v>
      </c>
      <c r="H7" s="9">
        <v>1</v>
      </c>
      <c r="I7" s="9" t="s">
        <v>421</v>
      </c>
      <c r="J7" s="9" t="s">
        <v>778</v>
      </c>
    </row>
    <row r="8" spans="1:10" x14ac:dyDescent="0.25">
      <c r="A8" s="9" t="s">
        <v>410</v>
      </c>
      <c r="B8" s="9">
        <v>5</v>
      </c>
      <c r="C8" s="9">
        <v>12</v>
      </c>
      <c r="D8" s="9" t="s">
        <v>411</v>
      </c>
      <c r="E8" s="9" t="s">
        <v>416</v>
      </c>
      <c r="F8" s="9">
        <v>1</v>
      </c>
      <c r="G8" s="9">
        <v>1</v>
      </c>
      <c r="H8" s="9">
        <v>1</v>
      </c>
      <c r="I8" s="9" t="s">
        <v>417</v>
      </c>
      <c r="J8" s="9" t="s">
        <v>779</v>
      </c>
    </row>
    <row r="9" spans="1:10" x14ac:dyDescent="0.25">
      <c r="A9" s="9" t="s">
        <v>410</v>
      </c>
      <c r="B9" s="9">
        <v>6</v>
      </c>
      <c r="C9" s="9">
        <v>12</v>
      </c>
      <c r="D9" s="9" t="s">
        <v>411</v>
      </c>
      <c r="E9" s="9" t="s">
        <v>422</v>
      </c>
      <c r="F9" s="9">
        <v>1</v>
      </c>
      <c r="G9" s="9">
        <v>1</v>
      </c>
      <c r="H9" s="9">
        <v>1</v>
      </c>
      <c r="I9" s="9" t="s">
        <v>423</v>
      </c>
      <c r="J9" s="9" t="s">
        <v>780</v>
      </c>
    </row>
    <row r="10" spans="1:10" x14ac:dyDescent="0.25">
      <c r="A10" s="9" t="s">
        <v>410</v>
      </c>
      <c r="B10" s="9">
        <v>7</v>
      </c>
      <c r="C10" s="9">
        <v>12</v>
      </c>
      <c r="D10" s="9" t="s">
        <v>411</v>
      </c>
      <c r="E10" s="9" t="s">
        <v>424</v>
      </c>
      <c r="F10" s="9">
        <v>1</v>
      </c>
      <c r="G10" s="9">
        <v>1</v>
      </c>
      <c r="H10" s="9">
        <v>1</v>
      </c>
      <c r="I10" s="9" t="s">
        <v>425</v>
      </c>
      <c r="J10" s="9" t="s">
        <v>781</v>
      </c>
    </row>
    <row r="11" spans="1:10" x14ac:dyDescent="0.25">
      <c r="A11" s="9" t="s">
        <v>410</v>
      </c>
      <c r="B11" s="9">
        <v>8</v>
      </c>
      <c r="C11" s="9">
        <v>12</v>
      </c>
      <c r="D11" s="9" t="s">
        <v>411</v>
      </c>
      <c r="E11" s="9" t="s">
        <v>418</v>
      </c>
      <c r="F11" s="9">
        <v>1</v>
      </c>
      <c r="G11" s="9">
        <v>1</v>
      </c>
      <c r="H11" s="9">
        <v>1</v>
      </c>
      <c r="I11" s="9" t="s">
        <v>419</v>
      </c>
      <c r="J11" s="9" t="s">
        <v>782</v>
      </c>
    </row>
    <row r="12" spans="1:10" x14ac:dyDescent="0.25">
      <c r="A12" s="9" t="s">
        <v>410</v>
      </c>
      <c r="B12" s="9">
        <v>9</v>
      </c>
      <c r="C12" s="9">
        <v>12</v>
      </c>
      <c r="D12" s="9" t="s">
        <v>411</v>
      </c>
      <c r="E12" s="9" t="s">
        <v>428</v>
      </c>
      <c r="F12" s="9">
        <v>1</v>
      </c>
      <c r="G12" s="9">
        <v>1</v>
      </c>
      <c r="H12" s="9">
        <v>1</v>
      </c>
      <c r="I12" s="9" t="s">
        <v>419</v>
      </c>
      <c r="J12" s="9" t="s">
        <v>783</v>
      </c>
    </row>
    <row r="13" spans="1:10" x14ac:dyDescent="0.25">
      <c r="A13" s="9" t="s">
        <v>410</v>
      </c>
      <c r="B13" s="9">
        <v>10</v>
      </c>
      <c r="C13" s="9">
        <v>12</v>
      </c>
      <c r="D13" s="9" t="s">
        <v>727</v>
      </c>
      <c r="E13" s="9" t="s">
        <v>728</v>
      </c>
      <c r="F13" s="9">
        <v>1</v>
      </c>
      <c r="G13" s="9">
        <v>3</v>
      </c>
      <c r="H13" s="9">
        <v>0</v>
      </c>
      <c r="I13" s="9" t="s">
        <v>729</v>
      </c>
      <c r="J13" s="9" t="s">
        <v>730</v>
      </c>
    </row>
    <row r="14" spans="1:10" x14ac:dyDescent="0.25">
      <c r="A14" s="9" t="s">
        <v>410</v>
      </c>
      <c r="B14" s="9">
        <v>11</v>
      </c>
      <c r="C14" s="9">
        <v>12</v>
      </c>
      <c r="D14" s="9" t="s">
        <v>429</v>
      </c>
      <c r="E14" s="9" t="s">
        <v>430</v>
      </c>
      <c r="F14" s="9">
        <v>1</v>
      </c>
      <c r="G14" s="9">
        <v>1</v>
      </c>
      <c r="H14" s="9">
        <v>1</v>
      </c>
      <c r="I14" s="9" t="s">
        <v>431</v>
      </c>
      <c r="J14" s="9" t="s">
        <v>784</v>
      </c>
    </row>
    <row r="15" spans="1:10" x14ac:dyDescent="0.25">
      <c r="A15" s="9" t="s">
        <v>410</v>
      </c>
      <c r="B15" s="9">
        <v>12</v>
      </c>
      <c r="C15" s="9">
        <v>12</v>
      </c>
      <c r="D15" s="9" t="s">
        <v>429</v>
      </c>
      <c r="E15" s="9" t="s">
        <v>432</v>
      </c>
      <c r="F15" s="9">
        <v>1</v>
      </c>
      <c r="G15" s="9">
        <v>1</v>
      </c>
      <c r="H15" s="9">
        <v>1</v>
      </c>
      <c r="I15" s="9" t="s">
        <v>433</v>
      </c>
      <c r="J15" s="9" t="s">
        <v>785</v>
      </c>
    </row>
    <row r="16" spans="1:10" x14ac:dyDescent="0.25">
      <c r="A16" s="9" t="s">
        <v>410</v>
      </c>
      <c r="B16" s="9">
        <v>13</v>
      </c>
      <c r="C16" s="9">
        <v>12</v>
      </c>
      <c r="D16" s="9" t="s">
        <v>36</v>
      </c>
      <c r="E16" s="9" t="s">
        <v>37</v>
      </c>
      <c r="F16" s="9">
        <v>1</v>
      </c>
      <c r="G16" s="9">
        <v>2</v>
      </c>
      <c r="H16" s="9">
        <v>2</v>
      </c>
      <c r="I16" s="9" t="s">
        <v>434</v>
      </c>
      <c r="J16" s="9" t="s">
        <v>786</v>
      </c>
    </row>
    <row r="17" spans="1:10" x14ac:dyDescent="0.25">
      <c r="A17" s="9" t="s">
        <v>410</v>
      </c>
      <c r="B17" s="9">
        <v>14</v>
      </c>
      <c r="C17" s="9">
        <v>12</v>
      </c>
      <c r="D17" s="9" t="s">
        <v>133</v>
      </c>
      <c r="E17" s="9" t="s">
        <v>134</v>
      </c>
      <c r="F17" s="9">
        <v>1</v>
      </c>
      <c r="G17" s="9">
        <v>1</v>
      </c>
      <c r="H17" s="9">
        <v>1</v>
      </c>
      <c r="I17" s="9" t="s">
        <v>132</v>
      </c>
      <c r="J17" s="9" t="s">
        <v>787</v>
      </c>
    </row>
    <row r="18" spans="1:10" x14ac:dyDescent="0.25">
      <c r="A18" s="9" t="s">
        <v>410</v>
      </c>
      <c r="B18" s="9">
        <v>15</v>
      </c>
      <c r="C18" s="9">
        <v>12</v>
      </c>
      <c r="D18" s="9" t="s">
        <v>5</v>
      </c>
      <c r="E18" s="9" t="s">
        <v>6</v>
      </c>
      <c r="F18" s="9">
        <v>1</v>
      </c>
      <c r="G18" s="9">
        <v>4</v>
      </c>
      <c r="H18" s="9">
        <v>4</v>
      </c>
      <c r="I18" s="9" t="s">
        <v>788</v>
      </c>
      <c r="J18" s="9" t="s">
        <v>919</v>
      </c>
    </row>
    <row r="19" spans="1:10" x14ac:dyDescent="0.25">
      <c r="A19" s="9" t="s">
        <v>410</v>
      </c>
      <c r="B19" s="9">
        <v>16</v>
      </c>
      <c r="C19" s="9">
        <v>12</v>
      </c>
      <c r="D19" s="9" t="s">
        <v>5</v>
      </c>
      <c r="E19" s="9" t="s">
        <v>440</v>
      </c>
      <c r="F19" s="9">
        <v>1</v>
      </c>
      <c r="G19" s="9">
        <v>1</v>
      </c>
      <c r="H19" s="9">
        <v>1</v>
      </c>
      <c r="I19" s="9" t="s">
        <v>789</v>
      </c>
      <c r="J19" s="9" t="s">
        <v>790</v>
      </c>
    </row>
    <row r="20" spans="1:10" ht="75" x14ac:dyDescent="0.25">
      <c r="A20" s="9" t="s">
        <v>410</v>
      </c>
      <c r="B20" s="9">
        <v>17</v>
      </c>
      <c r="C20" s="9">
        <v>12</v>
      </c>
      <c r="D20" s="9" t="s">
        <v>5</v>
      </c>
      <c r="E20" s="9" t="s">
        <v>31</v>
      </c>
      <c r="F20" s="9">
        <v>1</v>
      </c>
      <c r="G20" s="9">
        <v>10</v>
      </c>
      <c r="H20" s="9">
        <v>10</v>
      </c>
      <c r="I20" s="9" t="s">
        <v>791</v>
      </c>
      <c r="J20" s="9" t="s">
        <v>792</v>
      </c>
    </row>
    <row r="21" spans="1:10" x14ac:dyDescent="0.25">
      <c r="A21" s="9" t="s">
        <v>410</v>
      </c>
      <c r="B21" s="9">
        <v>18</v>
      </c>
      <c r="C21" s="9">
        <v>12</v>
      </c>
      <c r="D21" s="9" t="s">
        <v>5</v>
      </c>
      <c r="E21" s="9" t="s">
        <v>19</v>
      </c>
      <c r="F21" s="9">
        <v>1</v>
      </c>
      <c r="G21" s="9">
        <v>1</v>
      </c>
      <c r="H21" s="9">
        <v>1</v>
      </c>
      <c r="I21" s="9" t="s">
        <v>789</v>
      </c>
      <c r="J21" s="9" t="s">
        <v>793</v>
      </c>
    </row>
    <row r="22" spans="1:10" ht="30" x14ac:dyDescent="0.25">
      <c r="A22" s="9" t="s">
        <v>410</v>
      </c>
      <c r="B22" s="9">
        <v>19</v>
      </c>
      <c r="C22" s="9">
        <v>12</v>
      </c>
      <c r="D22" s="9" t="s">
        <v>5</v>
      </c>
      <c r="E22" s="9" t="s">
        <v>67</v>
      </c>
      <c r="F22" s="9">
        <v>1</v>
      </c>
      <c r="G22" s="9">
        <v>6</v>
      </c>
      <c r="H22" s="9">
        <v>6</v>
      </c>
      <c r="I22" s="9" t="s">
        <v>439</v>
      </c>
      <c r="J22" s="9" t="s">
        <v>794</v>
      </c>
    </row>
    <row r="23" spans="1:10" x14ac:dyDescent="0.25">
      <c r="A23" s="9" t="s">
        <v>410</v>
      </c>
      <c r="B23" s="9">
        <v>20</v>
      </c>
      <c r="C23" s="9">
        <v>12</v>
      </c>
      <c r="D23" s="9" t="s">
        <v>5</v>
      </c>
      <c r="E23" s="9" t="s">
        <v>437</v>
      </c>
      <c r="F23" s="9">
        <v>1</v>
      </c>
      <c r="G23" s="9">
        <v>2</v>
      </c>
      <c r="H23" s="9">
        <v>2</v>
      </c>
      <c r="I23" s="9" t="s">
        <v>438</v>
      </c>
      <c r="J23" s="9" t="s">
        <v>795</v>
      </c>
    </row>
    <row r="24" spans="1:10" ht="30" x14ac:dyDescent="0.25">
      <c r="A24" s="9" t="s">
        <v>410</v>
      </c>
      <c r="B24" s="9">
        <v>21</v>
      </c>
      <c r="C24" s="9">
        <v>12</v>
      </c>
      <c r="D24" s="9" t="s">
        <v>5</v>
      </c>
      <c r="E24" s="9" t="s">
        <v>22</v>
      </c>
      <c r="F24" s="9">
        <v>1</v>
      </c>
      <c r="G24" s="9">
        <v>7</v>
      </c>
      <c r="H24" s="9">
        <v>7</v>
      </c>
      <c r="I24" s="9" t="s">
        <v>796</v>
      </c>
      <c r="J24" s="9" t="s">
        <v>797</v>
      </c>
    </row>
    <row r="25" spans="1:10" x14ac:dyDescent="0.25">
      <c r="A25" s="9" t="s">
        <v>410</v>
      </c>
      <c r="B25" s="9">
        <v>22</v>
      </c>
      <c r="C25" s="9">
        <v>12</v>
      </c>
      <c r="D25" s="9" t="s">
        <v>5</v>
      </c>
      <c r="E25" s="9" t="s">
        <v>21</v>
      </c>
      <c r="F25" s="9">
        <v>1</v>
      </c>
      <c r="G25" s="9">
        <v>1</v>
      </c>
      <c r="H25" s="9">
        <v>1</v>
      </c>
      <c r="I25" s="9" t="s">
        <v>798</v>
      </c>
      <c r="J25" s="9" t="s">
        <v>799</v>
      </c>
    </row>
    <row r="26" spans="1:10" x14ac:dyDescent="0.25">
      <c r="A26" s="9" t="s">
        <v>410</v>
      </c>
      <c r="B26" s="9">
        <v>23</v>
      </c>
      <c r="C26" s="9">
        <v>12</v>
      </c>
      <c r="D26" s="9" t="s">
        <v>5</v>
      </c>
      <c r="E26" s="9" t="s">
        <v>79</v>
      </c>
      <c r="F26" s="9">
        <v>1</v>
      </c>
      <c r="G26" s="9">
        <v>2</v>
      </c>
      <c r="H26" s="9">
        <v>2</v>
      </c>
      <c r="I26" s="9" t="s">
        <v>436</v>
      </c>
      <c r="J26" s="9" t="s">
        <v>800</v>
      </c>
    </row>
    <row r="27" spans="1:10" x14ac:dyDescent="0.25">
      <c r="A27" s="9" t="s">
        <v>410</v>
      </c>
      <c r="B27" s="9">
        <v>24</v>
      </c>
      <c r="C27" s="9">
        <v>12</v>
      </c>
      <c r="D27" s="9" t="s">
        <v>441</v>
      </c>
      <c r="E27" s="9" t="s">
        <v>442</v>
      </c>
      <c r="F27" s="9">
        <v>1</v>
      </c>
      <c r="G27" s="9">
        <v>2</v>
      </c>
      <c r="H27" s="9">
        <v>2</v>
      </c>
      <c r="I27" s="9" t="s">
        <v>125</v>
      </c>
      <c r="J27" s="9"/>
    </row>
    <row r="28" spans="1:10" x14ac:dyDescent="0.25">
      <c r="A28" s="9" t="s">
        <v>410</v>
      </c>
      <c r="B28" s="9">
        <v>25</v>
      </c>
      <c r="C28" s="9">
        <v>12</v>
      </c>
      <c r="D28" s="9" t="s">
        <v>441</v>
      </c>
      <c r="E28" s="9" t="s">
        <v>443</v>
      </c>
      <c r="F28" s="9">
        <v>1</v>
      </c>
      <c r="G28" s="9">
        <v>2</v>
      </c>
      <c r="H28" s="9">
        <v>2</v>
      </c>
      <c r="I28" s="9" t="s">
        <v>125</v>
      </c>
      <c r="J28" s="9"/>
    </row>
    <row r="29" spans="1:10" x14ac:dyDescent="0.25">
      <c r="A29" s="9" t="s">
        <v>410</v>
      </c>
      <c r="B29" s="9">
        <v>26</v>
      </c>
      <c r="C29" s="9">
        <v>12</v>
      </c>
      <c r="D29" s="9" t="s">
        <v>444</v>
      </c>
      <c r="E29" s="9">
        <v>1353605</v>
      </c>
      <c r="F29" s="9">
        <v>1</v>
      </c>
      <c r="G29" s="9">
        <v>1</v>
      </c>
      <c r="H29" s="9">
        <v>1</v>
      </c>
      <c r="I29" s="9" t="s">
        <v>445</v>
      </c>
      <c r="J29" s="9" t="s">
        <v>801</v>
      </c>
    </row>
    <row r="30" spans="1:10" x14ac:dyDescent="0.25">
      <c r="A30" s="9" t="s">
        <v>410</v>
      </c>
      <c r="B30" s="9">
        <v>27</v>
      </c>
      <c r="C30" s="9">
        <v>12</v>
      </c>
      <c r="D30" s="9" t="s">
        <v>444</v>
      </c>
      <c r="E30" s="9" t="s">
        <v>446</v>
      </c>
      <c r="F30" s="9">
        <v>1</v>
      </c>
      <c r="G30" s="9">
        <v>3</v>
      </c>
      <c r="H30" s="9">
        <v>3</v>
      </c>
      <c r="I30" s="9" t="s">
        <v>802</v>
      </c>
      <c r="J30" s="9" t="s">
        <v>803</v>
      </c>
    </row>
    <row r="31" spans="1:10" x14ac:dyDescent="0.25">
      <c r="A31" s="9" t="s">
        <v>410</v>
      </c>
      <c r="B31" s="9">
        <v>28</v>
      </c>
      <c r="C31" s="9">
        <v>12</v>
      </c>
      <c r="D31" s="9" t="s">
        <v>444</v>
      </c>
      <c r="E31" s="9" t="s">
        <v>447</v>
      </c>
      <c r="F31" s="9">
        <v>1</v>
      </c>
      <c r="G31" s="9">
        <v>3</v>
      </c>
      <c r="H31" s="9">
        <v>3</v>
      </c>
      <c r="I31" s="9" t="s">
        <v>802</v>
      </c>
      <c r="J31" s="9" t="s">
        <v>804</v>
      </c>
    </row>
    <row r="32" spans="1:10" x14ac:dyDescent="0.25">
      <c r="A32" s="9" t="s">
        <v>410</v>
      </c>
      <c r="B32" s="9">
        <v>29</v>
      </c>
      <c r="C32" s="9">
        <v>12</v>
      </c>
      <c r="D32" s="9" t="s">
        <v>444</v>
      </c>
      <c r="E32" s="9" t="s">
        <v>448</v>
      </c>
      <c r="F32" s="9">
        <v>1</v>
      </c>
      <c r="G32" s="9">
        <v>3</v>
      </c>
      <c r="H32" s="9">
        <v>3</v>
      </c>
      <c r="I32" s="9" t="s">
        <v>445</v>
      </c>
      <c r="J32" s="9" t="s">
        <v>805</v>
      </c>
    </row>
    <row r="33" spans="1:10" ht="30" x14ac:dyDescent="0.25">
      <c r="A33" s="9" t="s">
        <v>410</v>
      </c>
      <c r="B33" s="9">
        <v>30</v>
      </c>
      <c r="C33" s="9">
        <v>12</v>
      </c>
      <c r="D33" s="9" t="s">
        <v>449</v>
      </c>
      <c r="E33" s="9" t="s">
        <v>459</v>
      </c>
      <c r="F33" s="9">
        <v>1</v>
      </c>
      <c r="G33" s="9">
        <v>3</v>
      </c>
      <c r="H33" s="9">
        <v>3</v>
      </c>
      <c r="I33" s="9" t="s">
        <v>460</v>
      </c>
      <c r="J33" s="9" t="s">
        <v>806</v>
      </c>
    </row>
    <row r="34" spans="1:10" x14ac:dyDescent="0.25">
      <c r="A34" s="9" t="s">
        <v>410</v>
      </c>
      <c r="B34" s="9">
        <v>31</v>
      </c>
      <c r="C34" s="9">
        <v>12</v>
      </c>
      <c r="D34" s="9" t="s">
        <v>449</v>
      </c>
      <c r="E34" s="9" t="s">
        <v>450</v>
      </c>
      <c r="F34" s="9">
        <v>1</v>
      </c>
      <c r="G34" s="9">
        <v>3</v>
      </c>
      <c r="H34" s="9">
        <v>3</v>
      </c>
      <c r="I34" s="9" t="s">
        <v>451</v>
      </c>
      <c r="J34" s="9" t="s">
        <v>807</v>
      </c>
    </row>
    <row r="35" spans="1:10" ht="30" x14ac:dyDescent="0.25">
      <c r="A35" s="9" t="s">
        <v>410</v>
      </c>
      <c r="B35" s="9">
        <v>32</v>
      </c>
      <c r="C35" s="9">
        <v>12</v>
      </c>
      <c r="D35" s="9" t="s">
        <v>449</v>
      </c>
      <c r="E35" s="9" t="s">
        <v>458</v>
      </c>
      <c r="F35" s="9">
        <v>1</v>
      </c>
      <c r="G35" s="9">
        <v>9</v>
      </c>
      <c r="H35" s="9">
        <v>9</v>
      </c>
      <c r="I35" s="9" t="s">
        <v>808</v>
      </c>
      <c r="J35" s="9" t="s">
        <v>809</v>
      </c>
    </row>
    <row r="36" spans="1:10" x14ac:dyDescent="0.25">
      <c r="A36" s="9" t="s">
        <v>410</v>
      </c>
      <c r="B36" s="9">
        <v>33</v>
      </c>
      <c r="C36" s="9">
        <v>12</v>
      </c>
      <c r="D36" s="9" t="s">
        <v>449</v>
      </c>
      <c r="E36" s="9" t="s">
        <v>457</v>
      </c>
      <c r="F36" s="9">
        <v>1</v>
      </c>
      <c r="G36" s="9">
        <v>3</v>
      </c>
      <c r="H36" s="9">
        <v>3</v>
      </c>
      <c r="I36" s="9" t="s">
        <v>810</v>
      </c>
      <c r="J36" s="9" t="s">
        <v>811</v>
      </c>
    </row>
    <row r="37" spans="1:10" ht="30" x14ac:dyDescent="0.25">
      <c r="A37" s="9" t="s">
        <v>410</v>
      </c>
      <c r="B37" s="9">
        <v>34</v>
      </c>
      <c r="C37" s="9">
        <v>12</v>
      </c>
      <c r="D37" s="9" t="s">
        <v>449</v>
      </c>
      <c r="E37" s="9" t="s">
        <v>456</v>
      </c>
      <c r="F37" s="9">
        <v>1</v>
      </c>
      <c r="G37" s="9">
        <v>4</v>
      </c>
      <c r="H37" s="9">
        <v>4</v>
      </c>
      <c r="I37" s="9" t="s">
        <v>812</v>
      </c>
      <c r="J37" s="9" t="s">
        <v>813</v>
      </c>
    </row>
    <row r="38" spans="1:10" x14ac:dyDescent="0.25">
      <c r="A38" s="9" t="s">
        <v>410</v>
      </c>
      <c r="B38" s="9">
        <v>35</v>
      </c>
      <c r="C38" s="9">
        <v>12</v>
      </c>
      <c r="D38" s="9" t="s">
        <v>449</v>
      </c>
      <c r="E38" s="9" t="s">
        <v>461</v>
      </c>
      <c r="F38" s="9">
        <v>1</v>
      </c>
      <c r="G38" s="9">
        <v>3</v>
      </c>
      <c r="H38" s="9">
        <v>3</v>
      </c>
      <c r="I38" s="9" t="s">
        <v>814</v>
      </c>
      <c r="J38" s="9" t="s">
        <v>815</v>
      </c>
    </row>
    <row r="39" spans="1:10" x14ac:dyDescent="0.25">
      <c r="A39" s="9" t="s">
        <v>410</v>
      </c>
      <c r="B39" s="9">
        <v>36</v>
      </c>
      <c r="C39" s="9">
        <v>12</v>
      </c>
      <c r="D39" s="9" t="s">
        <v>449</v>
      </c>
      <c r="E39" s="9" t="s">
        <v>453</v>
      </c>
      <c r="F39" s="9">
        <v>1</v>
      </c>
      <c r="G39" s="9">
        <v>1</v>
      </c>
      <c r="H39" s="9">
        <v>1</v>
      </c>
      <c r="I39" s="9" t="s">
        <v>451</v>
      </c>
      <c r="J39" s="9" t="s">
        <v>816</v>
      </c>
    </row>
    <row r="40" spans="1:10" x14ac:dyDescent="0.25">
      <c r="A40" s="9" t="s">
        <v>410</v>
      </c>
      <c r="B40" s="9">
        <v>37</v>
      </c>
      <c r="C40" s="9">
        <v>12</v>
      </c>
      <c r="D40" s="9" t="s">
        <v>449</v>
      </c>
      <c r="E40" s="9" t="s">
        <v>455</v>
      </c>
      <c r="F40" s="9">
        <v>1</v>
      </c>
      <c r="G40" s="9">
        <v>1</v>
      </c>
      <c r="H40" s="9">
        <v>1</v>
      </c>
      <c r="I40" s="9" t="s">
        <v>451</v>
      </c>
      <c r="J40" s="9" t="s">
        <v>817</v>
      </c>
    </row>
    <row r="41" spans="1:10" x14ac:dyDescent="0.25">
      <c r="A41" s="9" t="s">
        <v>410</v>
      </c>
      <c r="B41" s="9">
        <v>38</v>
      </c>
      <c r="C41" s="9">
        <v>12</v>
      </c>
      <c r="D41" s="9" t="s">
        <v>449</v>
      </c>
      <c r="E41" s="9" t="s">
        <v>452</v>
      </c>
      <c r="F41" s="9">
        <v>1</v>
      </c>
      <c r="G41" s="9">
        <v>1</v>
      </c>
      <c r="H41" s="9">
        <v>1</v>
      </c>
      <c r="I41" s="9" t="s">
        <v>451</v>
      </c>
      <c r="J41" s="9" t="s">
        <v>818</v>
      </c>
    </row>
    <row r="42" spans="1:10" x14ac:dyDescent="0.25">
      <c r="A42" s="9" t="s">
        <v>410</v>
      </c>
      <c r="B42" s="9">
        <v>39</v>
      </c>
      <c r="C42" s="9">
        <v>12</v>
      </c>
      <c r="D42" s="9" t="s">
        <v>449</v>
      </c>
      <c r="E42" s="9" t="s">
        <v>454</v>
      </c>
      <c r="F42" s="9">
        <v>1</v>
      </c>
      <c r="G42" s="9">
        <v>1</v>
      </c>
      <c r="H42" s="9">
        <v>1</v>
      </c>
      <c r="I42" s="9" t="s">
        <v>451</v>
      </c>
      <c r="J42" s="9" t="s">
        <v>819</v>
      </c>
    </row>
    <row r="43" spans="1:10" x14ac:dyDescent="0.25">
      <c r="A43" s="9" t="s">
        <v>410</v>
      </c>
      <c r="B43" s="9">
        <v>40</v>
      </c>
      <c r="C43" s="9">
        <v>12</v>
      </c>
      <c r="D43" s="9" t="s">
        <v>41</v>
      </c>
      <c r="E43" s="9" t="s">
        <v>464</v>
      </c>
      <c r="F43" s="9">
        <v>1</v>
      </c>
      <c r="G43" s="9">
        <v>2</v>
      </c>
      <c r="H43" s="9">
        <v>2</v>
      </c>
      <c r="I43" s="9" t="s">
        <v>463</v>
      </c>
      <c r="J43" s="9" t="s">
        <v>820</v>
      </c>
    </row>
    <row r="44" spans="1:10" x14ac:dyDescent="0.25">
      <c r="A44" s="9" t="s">
        <v>410</v>
      </c>
      <c r="B44" s="9">
        <v>41</v>
      </c>
      <c r="C44" s="9">
        <v>12</v>
      </c>
      <c r="D44" s="9" t="s">
        <v>41</v>
      </c>
      <c r="E44" s="9" t="s">
        <v>462</v>
      </c>
      <c r="F44" s="9">
        <v>1</v>
      </c>
      <c r="G44" s="9">
        <v>2</v>
      </c>
      <c r="H44" s="9">
        <v>2</v>
      </c>
      <c r="I44" s="9" t="s">
        <v>463</v>
      </c>
      <c r="J44" s="9" t="s">
        <v>821</v>
      </c>
    </row>
    <row r="45" spans="1:10" x14ac:dyDescent="0.25">
      <c r="A45" s="9" t="s">
        <v>410</v>
      </c>
      <c r="B45" s="9">
        <v>42</v>
      </c>
      <c r="C45" s="9">
        <v>12</v>
      </c>
      <c r="D45" s="9" t="s">
        <v>465</v>
      </c>
      <c r="E45" s="9" t="s">
        <v>466</v>
      </c>
      <c r="F45" s="9">
        <v>1</v>
      </c>
      <c r="G45" s="9">
        <v>1</v>
      </c>
      <c r="H45" s="9">
        <v>1</v>
      </c>
      <c r="I45" s="9" t="s">
        <v>415</v>
      </c>
      <c r="J45" s="9" t="s">
        <v>822</v>
      </c>
    </row>
    <row r="46" spans="1:10" x14ac:dyDescent="0.25">
      <c r="A46" s="9" t="s">
        <v>410</v>
      </c>
      <c r="B46" s="9">
        <v>43</v>
      </c>
      <c r="C46" s="9">
        <v>12</v>
      </c>
      <c r="D46" s="9" t="s">
        <v>137</v>
      </c>
      <c r="E46" s="9">
        <v>1159045</v>
      </c>
      <c r="F46" s="9">
        <v>1</v>
      </c>
      <c r="G46" s="9">
        <v>1</v>
      </c>
      <c r="H46" s="9">
        <v>1</v>
      </c>
      <c r="I46" s="9" t="s">
        <v>138</v>
      </c>
      <c r="J46" s="9" t="s">
        <v>823</v>
      </c>
    </row>
    <row r="47" spans="1:10" ht="30" x14ac:dyDescent="0.25">
      <c r="A47" s="9" t="s">
        <v>410</v>
      </c>
      <c r="B47" s="9">
        <v>44</v>
      </c>
      <c r="C47" s="9">
        <v>12</v>
      </c>
      <c r="D47" s="9" t="s">
        <v>137</v>
      </c>
      <c r="E47" s="9">
        <v>1400899</v>
      </c>
      <c r="F47" s="9">
        <v>1</v>
      </c>
      <c r="G47" s="9">
        <v>3</v>
      </c>
      <c r="H47" s="9">
        <v>3</v>
      </c>
      <c r="I47" s="9" t="s">
        <v>470</v>
      </c>
      <c r="J47" s="9" t="s">
        <v>824</v>
      </c>
    </row>
    <row r="48" spans="1:10" ht="30" x14ac:dyDescent="0.25">
      <c r="A48" s="9" t="s">
        <v>410</v>
      </c>
      <c r="B48" s="9">
        <v>45</v>
      </c>
      <c r="C48" s="9">
        <v>12</v>
      </c>
      <c r="D48" s="9" t="s">
        <v>137</v>
      </c>
      <c r="E48" s="9">
        <v>1406167</v>
      </c>
      <c r="F48" s="9">
        <v>1</v>
      </c>
      <c r="G48" s="9">
        <v>1</v>
      </c>
      <c r="H48" s="9">
        <v>1</v>
      </c>
      <c r="I48" s="9" t="s">
        <v>435</v>
      </c>
      <c r="J48" s="9" t="s">
        <v>825</v>
      </c>
    </row>
    <row r="49" spans="1:10" ht="60" x14ac:dyDescent="0.25">
      <c r="A49" s="9" t="s">
        <v>410</v>
      </c>
      <c r="B49" s="9">
        <v>46</v>
      </c>
      <c r="C49" s="9">
        <v>12</v>
      </c>
      <c r="D49" s="9" t="s">
        <v>137</v>
      </c>
      <c r="E49" s="9">
        <v>1439492</v>
      </c>
      <c r="F49" s="9">
        <v>1</v>
      </c>
      <c r="G49" s="9">
        <v>8</v>
      </c>
      <c r="H49" s="9">
        <v>8</v>
      </c>
      <c r="I49" s="9" t="s">
        <v>469</v>
      </c>
      <c r="J49" s="9" t="s">
        <v>826</v>
      </c>
    </row>
    <row r="50" spans="1:10" ht="105" x14ac:dyDescent="0.25">
      <c r="A50" s="9" t="s">
        <v>410</v>
      </c>
      <c r="B50" s="9">
        <v>47</v>
      </c>
      <c r="C50" s="9">
        <v>12</v>
      </c>
      <c r="D50" s="9" t="s">
        <v>137</v>
      </c>
      <c r="E50" s="9">
        <v>1500716</v>
      </c>
      <c r="F50" s="9">
        <v>1</v>
      </c>
      <c r="G50" s="9">
        <v>13</v>
      </c>
      <c r="H50" s="9">
        <v>13</v>
      </c>
      <c r="I50" s="9" t="s">
        <v>827</v>
      </c>
      <c r="J50" s="9" t="s">
        <v>828</v>
      </c>
    </row>
    <row r="51" spans="1:10" ht="30" x14ac:dyDescent="0.25">
      <c r="A51" s="9" t="s">
        <v>410</v>
      </c>
      <c r="B51" s="9">
        <v>48</v>
      </c>
      <c r="C51" s="9">
        <v>12</v>
      </c>
      <c r="D51" s="9" t="s">
        <v>137</v>
      </c>
      <c r="E51" s="9">
        <v>1500758</v>
      </c>
      <c r="F51" s="9">
        <v>1</v>
      </c>
      <c r="G51" s="9">
        <v>2</v>
      </c>
      <c r="H51" s="9">
        <v>2</v>
      </c>
      <c r="I51" s="9" t="s">
        <v>434</v>
      </c>
      <c r="J51" s="9" t="s">
        <v>829</v>
      </c>
    </row>
    <row r="52" spans="1:10" ht="30" x14ac:dyDescent="0.25">
      <c r="A52" s="9" t="s">
        <v>410</v>
      </c>
      <c r="B52" s="9">
        <v>49</v>
      </c>
      <c r="C52" s="9">
        <v>12</v>
      </c>
      <c r="D52" s="9" t="s">
        <v>137</v>
      </c>
      <c r="E52" s="9">
        <v>1520372</v>
      </c>
      <c r="F52" s="9">
        <v>1</v>
      </c>
      <c r="G52" s="9">
        <v>1</v>
      </c>
      <c r="H52" s="9">
        <v>1</v>
      </c>
      <c r="I52" s="9" t="s">
        <v>789</v>
      </c>
      <c r="J52" s="9" t="s">
        <v>830</v>
      </c>
    </row>
    <row r="53" spans="1:10" ht="30" x14ac:dyDescent="0.25">
      <c r="A53" s="9" t="s">
        <v>410</v>
      </c>
      <c r="B53" s="9">
        <v>50</v>
      </c>
      <c r="C53" s="9">
        <v>12</v>
      </c>
      <c r="D53" s="9" t="s">
        <v>137</v>
      </c>
      <c r="E53" s="9">
        <v>1522891</v>
      </c>
      <c r="F53" s="9">
        <v>1</v>
      </c>
      <c r="G53" s="9">
        <v>2</v>
      </c>
      <c r="H53" s="9">
        <v>2</v>
      </c>
      <c r="I53" s="9" t="s">
        <v>463</v>
      </c>
      <c r="J53" s="9" t="s">
        <v>831</v>
      </c>
    </row>
    <row r="54" spans="1:10" ht="90" x14ac:dyDescent="0.25">
      <c r="A54" s="9" t="s">
        <v>410</v>
      </c>
      <c r="B54" s="9">
        <v>51</v>
      </c>
      <c r="C54" s="9">
        <v>12</v>
      </c>
      <c r="D54" s="9" t="s">
        <v>137</v>
      </c>
      <c r="E54" s="9">
        <v>1683002</v>
      </c>
      <c r="F54" s="9">
        <v>1</v>
      </c>
      <c r="G54" s="9">
        <v>18</v>
      </c>
      <c r="H54" s="9">
        <v>18</v>
      </c>
      <c r="I54" s="9" t="s">
        <v>832</v>
      </c>
      <c r="J54" s="9" t="s">
        <v>833</v>
      </c>
    </row>
    <row r="55" spans="1:10" ht="45" x14ac:dyDescent="0.25">
      <c r="A55" s="9" t="s">
        <v>410</v>
      </c>
      <c r="B55" s="9">
        <v>52</v>
      </c>
      <c r="C55" s="9">
        <v>12</v>
      </c>
      <c r="D55" s="9" t="s">
        <v>137</v>
      </c>
      <c r="E55" s="9">
        <v>1694101</v>
      </c>
      <c r="F55" s="9">
        <v>1</v>
      </c>
      <c r="G55" s="9">
        <v>8</v>
      </c>
      <c r="H55" s="9">
        <v>8</v>
      </c>
      <c r="I55" s="9" t="s">
        <v>834</v>
      </c>
      <c r="J55" s="9" t="s">
        <v>835</v>
      </c>
    </row>
    <row r="56" spans="1:10" ht="60" x14ac:dyDescent="0.25">
      <c r="A56" s="9" t="s">
        <v>410</v>
      </c>
      <c r="B56" s="9">
        <v>53</v>
      </c>
      <c r="C56" s="9">
        <v>12</v>
      </c>
      <c r="D56" s="9" t="s">
        <v>137</v>
      </c>
      <c r="E56" s="9">
        <v>2905743</v>
      </c>
      <c r="F56" s="9">
        <v>1</v>
      </c>
      <c r="G56" s="9">
        <v>9</v>
      </c>
      <c r="H56" s="9">
        <v>9</v>
      </c>
      <c r="I56" s="9" t="s">
        <v>468</v>
      </c>
      <c r="J56" s="9" t="s">
        <v>1175</v>
      </c>
    </row>
    <row r="57" spans="1:10" x14ac:dyDescent="0.25">
      <c r="A57" s="9" t="s">
        <v>410</v>
      </c>
      <c r="B57" s="9">
        <v>54</v>
      </c>
      <c r="C57" s="9">
        <v>12</v>
      </c>
      <c r="D57" s="9" t="s">
        <v>137</v>
      </c>
      <c r="E57" s="9">
        <v>2910386</v>
      </c>
      <c r="F57" s="9">
        <v>1</v>
      </c>
      <c r="G57" s="9">
        <v>1</v>
      </c>
      <c r="H57" s="9">
        <v>1</v>
      </c>
      <c r="I57" s="9" t="s">
        <v>467</v>
      </c>
      <c r="J57" s="9" t="s">
        <v>836</v>
      </c>
    </row>
    <row r="58" spans="1:10" ht="30" x14ac:dyDescent="0.25">
      <c r="A58" s="9" t="s">
        <v>410</v>
      </c>
      <c r="B58" s="9">
        <v>55</v>
      </c>
      <c r="C58" s="9">
        <v>12</v>
      </c>
      <c r="D58" s="9" t="s">
        <v>14</v>
      </c>
      <c r="E58" s="9" t="s">
        <v>502</v>
      </c>
      <c r="F58" s="9">
        <v>1</v>
      </c>
      <c r="G58" s="9">
        <v>4</v>
      </c>
      <c r="H58" s="9">
        <v>4</v>
      </c>
      <c r="I58" s="9" t="s">
        <v>503</v>
      </c>
      <c r="J58" s="9" t="s">
        <v>837</v>
      </c>
    </row>
    <row r="59" spans="1:10" x14ac:dyDescent="0.25">
      <c r="A59" s="9" t="s">
        <v>410</v>
      </c>
      <c r="B59" s="9">
        <v>56</v>
      </c>
      <c r="C59" s="9">
        <v>12</v>
      </c>
      <c r="D59" s="9" t="s">
        <v>14</v>
      </c>
      <c r="E59" s="9" t="s">
        <v>497</v>
      </c>
      <c r="F59" s="9">
        <v>1</v>
      </c>
      <c r="G59" s="9">
        <v>1</v>
      </c>
      <c r="H59" s="9">
        <v>1</v>
      </c>
      <c r="I59" s="9" t="s">
        <v>498</v>
      </c>
      <c r="J59" s="9" t="s">
        <v>838</v>
      </c>
    </row>
    <row r="60" spans="1:10" x14ac:dyDescent="0.25">
      <c r="A60" s="9" t="s">
        <v>410</v>
      </c>
      <c r="B60" s="9">
        <v>57</v>
      </c>
      <c r="C60" s="9">
        <v>12</v>
      </c>
      <c r="D60" s="9" t="s">
        <v>14</v>
      </c>
      <c r="E60" s="9" t="s">
        <v>489</v>
      </c>
      <c r="F60" s="9">
        <v>1</v>
      </c>
      <c r="G60" s="9">
        <v>2</v>
      </c>
      <c r="H60" s="9">
        <v>2</v>
      </c>
      <c r="I60" s="9" t="s">
        <v>496</v>
      </c>
      <c r="J60" s="9" t="s">
        <v>839</v>
      </c>
    </row>
    <row r="61" spans="1:10" ht="30" x14ac:dyDescent="0.25">
      <c r="A61" s="9" t="s">
        <v>410</v>
      </c>
      <c r="B61" s="9">
        <v>58</v>
      </c>
      <c r="C61" s="9">
        <v>12</v>
      </c>
      <c r="D61" s="9" t="s">
        <v>14</v>
      </c>
      <c r="E61" s="9" t="s">
        <v>477</v>
      </c>
      <c r="F61" s="9">
        <v>1</v>
      </c>
      <c r="G61" s="9">
        <v>6</v>
      </c>
      <c r="H61" s="9">
        <v>6</v>
      </c>
      <c r="I61" s="9" t="s">
        <v>476</v>
      </c>
      <c r="J61" s="9" t="s">
        <v>840</v>
      </c>
    </row>
    <row r="62" spans="1:10" ht="30" x14ac:dyDescent="0.25">
      <c r="A62" s="9" t="s">
        <v>410</v>
      </c>
      <c r="B62" s="9">
        <v>59</v>
      </c>
      <c r="C62" s="9">
        <v>12</v>
      </c>
      <c r="D62" s="9" t="s">
        <v>14</v>
      </c>
      <c r="E62" s="9" t="s">
        <v>474</v>
      </c>
      <c r="F62" s="9">
        <v>1</v>
      </c>
      <c r="G62" s="9">
        <v>3</v>
      </c>
      <c r="H62" s="9">
        <v>3</v>
      </c>
      <c r="I62" s="9" t="s">
        <v>841</v>
      </c>
      <c r="J62" s="9" t="s">
        <v>842</v>
      </c>
    </row>
    <row r="63" spans="1:10" ht="30" x14ac:dyDescent="0.25">
      <c r="A63" s="9" t="s">
        <v>410</v>
      </c>
      <c r="B63" s="9">
        <v>60</v>
      </c>
      <c r="C63" s="9">
        <v>12</v>
      </c>
      <c r="D63" s="9" t="s">
        <v>14</v>
      </c>
      <c r="E63" s="9" t="s">
        <v>475</v>
      </c>
      <c r="F63" s="9">
        <v>1</v>
      </c>
      <c r="G63" s="9">
        <v>12</v>
      </c>
      <c r="H63" s="9">
        <v>12</v>
      </c>
      <c r="I63" s="9" t="s">
        <v>476</v>
      </c>
      <c r="J63" s="9" t="s">
        <v>843</v>
      </c>
    </row>
    <row r="64" spans="1:10" ht="45" x14ac:dyDescent="0.25">
      <c r="A64" s="9" t="s">
        <v>410</v>
      </c>
      <c r="B64" s="9">
        <v>61</v>
      </c>
      <c r="C64" s="9">
        <v>12</v>
      </c>
      <c r="D64" s="9" t="s">
        <v>14</v>
      </c>
      <c r="E64" s="9" t="s">
        <v>564</v>
      </c>
      <c r="F64" s="9">
        <v>1</v>
      </c>
      <c r="G64" s="9">
        <v>3</v>
      </c>
      <c r="H64" s="9">
        <v>3</v>
      </c>
      <c r="I64" s="9" t="s">
        <v>565</v>
      </c>
      <c r="J64" s="9" t="s">
        <v>844</v>
      </c>
    </row>
    <row r="65" spans="1:10" ht="30" x14ac:dyDescent="0.25">
      <c r="A65" s="9" t="s">
        <v>410</v>
      </c>
      <c r="B65" s="9">
        <v>62</v>
      </c>
      <c r="C65" s="9">
        <v>12</v>
      </c>
      <c r="D65" s="9" t="s">
        <v>14</v>
      </c>
      <c r="E65" s="9" t="s">
        <v>548</v>
      </c>
      <c r="F65" s="9">
        <v>1</v>
      </c>
      <c r="G65" s="9">
        <v>4</v>
      </c>
      <c r="H65" s="9">
        <v>4</v>
      </c>
      <c r="I65" s="9" t="s">
        <v>549</v>
      </c>
      <c r="J65" s="9" t="s">
        <v>845</v>
      </c>
    </row>
    <row r="66" spans="1:10" x14ac:dyDescent="0.25">
      <c r="A66" s="9" t="s">
        <v>410</v>
      </c>
      <c r="B66" s="9">
        <v>63</v>
      </c>
      <c r="C66" s="9">
        <v>12</v>
      </c>
      <c r="D66" s="9" t="s">
        <v>14</v>
      </c>
      <c r="E66" s="9" t="s">
        <v>131</v>
      </c>
      <c r="F66" s="9">
        <v>1</v>
      </c>
      <c r="G66" s="9">
        <v>2</v>
      </c>
      <c r="H66" s="9">
        <v>2</v>
      </c>
      <c r="I66" s="9" t="s">
        <v>473</v>
      </c>
      <c r="J66" s="9" t="s">
        <v>846</v>
      </c>
    </row>
    <row r="67" spans="1:10" x14ac:dyDescent="0.25">
      <c r="A67" s="9" t="s">
        <v>410</v>
      </c>
      <c r="B67" s="9">
        <v>64</v>
      </c>
      <c r="C67" s="9">
        <v>12</v>
      </c>
      <c r="D67" s="9" t="s">
        <v>14</v>
      </c>
      <c r="E67" s="9" t="s">
        <v>506</v>
      </c>
      <c r="F67" s="9">
        <v>1</v>
      </c>
      <c r="G67" s="9">
        <v>2</v>
      </c>
      <c r="H67" s="9">
        <v>2</v>
      </c>
      <c r="I67" s="9" t="s">
        <v>507</v>
      </c>
      <c r="J67" s="9" t="s">
        <v>847</v>
      </c>
    </row>
    <row r="68" spans="1:10" ht="30" x14ac:dyDescent="0.25">
      <c r="A68" s="9" t="s">
        <v>410</v>
      </c>
      <c r="B68" s="9">
        <v>65</v>
      </c>
      <c r="C68" s="9">
        <v>12</v>
      </c>
      <c r="D68" s="9" t="s">
        <v>14</v>
      </c>
      <c r="E68" s="9" t="s">
        <v>508</v>
      </c>
      <c r="F68" s="9">
        <v>1</v>
      </c>
      <c r="G68" s="9">
        <v>3</v>
      </c>
      <c r="H68" s="9">
        <v>3</v>
      </c>
      <c r="I68" s="9" t="s">
        <v>509</v>
      </c>
      <c r="J68" s="9" t="s">
        <v>848</v>
      </c>
    </row>
    <row r="69" spans="1:10" ht="30" x14ac:dyDescent="0.25">
      <c r="A69" s="9" t="s">
        <v>410</v>
      </c>
      <c r="B69" s="9">
        <v>66</v>
      </c>
      <c r="C69" s="9">
        <v>12</v>
      </c>
      <c r="D69" s="9" t="s">
        <v>14</v>
      </c>
      <c r="E69" s="9" t="s">
        <v>504</v>
      </c>
      <c r="F69" s="9">
        <v>1</v>
      </c>
      <c r="G69" s="9">
        <v>4</v>
      </c>
      <c r="H69" s="9">
        <v>4</v>
      </c>
      <c r="I69" s="9" t="s">
        <v>505</v>
      </c>
      <c r="J69" s="9" t="s">
        <v>849</v>
      </c>
    </row>
    <row r="70" spans="1:10" x14ac:dyDescent="0.25">
      <c r="A70" s="9" t="s">
        <v>410</v>
      </c>
      <c r="B70" s="9">
        <v>67</v>
      </c>
      <c r="C70" s="9">
        <v>12</v>
      </c>
      <c r="D70" s="9" t="s">
        <v>14</v>
      </c>
      <c r="E70" s="9" t="s">
        <v>510</v>
      </c>
      <c r="F70" s="9">
        <v>1</v>
      </c>
      <c r="G70" s="9">
        <v>1</v>
      </c>
      <c r="H70" s="9">
        <v>1</v>
      </c>
      <c r="I70" s="9" t="s">
        <v>511</v>
      </c>
      <c r="J70" s="9" t="s">
        <v>850</v>
      </c>
    </row>
    <row r="71" spans="1:10" x14ac:dyDescent="0.25">
      <c r="A71" s="9" t="s">
        <v>410</v>
      </c>
      <c r="B71" s="9">
        <v>68</v>
      </c>
      <c r="C71" s="9">
        <v>12</v>
      </c>
      <c r="D71" s="9" t="s">
        <v>14</v>
      </c>
      <c r="E71" s="9" t="s">
        <v>557</v>
      </c>
      <c r="F71" s="9">
        <v>1</v>
      </c>
      <c r="G71" s="9">
        <v>1</v>
      </c>
      <c r="H71" s="9">
        <v>1</v>
      </c>
      <c r="I71" s="9" t="s">
        <v>558</v>
      </c>
      <c r="J71" s="9" t="s">
        <v>851</v>
      </c>
    </row>
    <row r="72" spans="1:10" ht="30" x14ac:dyDescent="0.25">
      <c r="A72" s="9" t="s">
        <v>410</v>
      </c>
      <c r="B72" s="9">
        <v>69</v>
      </c>
      <c r="C72" s="9">
        <v>12</v>
      </c>
      <c r="D72" s="9" t="s">
        <v>14</v>
      </c>
      <c r="E72" s="9" t="s">
        <v>559</v>
      </c>
      <c r="F72" s="9">
        <v>1</v>
      </c>
      <c r="G72" s="9">
        <v>4</v>
      </c>
      <c r="H72" s="9">
        <v>4</v>
      </c>
      <c r="I72" s="9" t="s">
        <v>560</v>
      </c>
      <c r="J72" s="9" t="s">
        <v>852</v>
      </c>
    </row>
    <row r="73" spans="1:10" ht="60" x14ac:dyDescent="0.25">
      <c r="A73" s="9" t="s">
        <v>410</v>
      </c>
      <c r="B73" s="9">
        <v>70</v>
      </c>
      <c r="C73" s="9">
        <v>12</v>
      </c>
      <c r="D73" s="9" t="s">
        <v>14</v>
      </c>
      <c r="E73" s="9" t="s">
        <v>561</v>
      </c>
      <c r="F73" s="9">
        <v>1</v>
      </c>
      <c r="G73" s="9">
        <v>7</v>
      </c>
      <c r="H73" s="9">
        <v>7</v>
      </c>
      <c r="I73" s="9" t="s">
        <v>562</v>
      </c>
      <c r="J73" s="9" t="s">
        <v>853</v>
      </c>
    </row>
    <row r="74" spans="1:10" ht="30" x14ac:dyDescent="0.25">
      <c r="A74" s="9" t="s">
        <v>410</v>
      </c>
      <c r="B74" s="9">
        <v>71</v>
      </c>
      <c r="C74" s="9">
        <v>12</v>
      </c>
      <c r="D74" s="9" t="s">
        <v>14</v>
      </c>
      <c r="E74" s="9" t="s">
        <v>544</v>
      </c>
      <c r="F74" s="9">
        <v>1</v>
      </c>
      <c r="G74" s="9">
        <v>3</v>
      </c>
      <c r="H74" s="9">
        <v>3</v>
      </c>
      <c r="I74" s="9" t="s">
        <v>545</v>
      </c>
      <c r="J74" s="9" t="s">
        <v>854</v>
      </c>
    </row>
    <row r="75" spans="1:10" x14ac:dyDescent="0.25">
      <c r="A75" s="9" t="s">
        <v>410</v>
      </c>
      <c r="B75" s="9">
        <v>72</v>
      </c>
      <c r="C75" s="9">
        <v>12</v>
      </c>
      <c r="D75" s="9" t="s">
        <v>14</v>
      </c>
      <c r="E75" s="9" t="s">
        <v>555</v>
      </c>
      <c r="F75" s="9">
        <v>1</v>
      </c>
      <c r="G75" s="9">
        <v>1</v>
      </c>
      <c r="H75" s="9">
        <v>1</v>
      </c>
      <c r="I75" s="9" t="s">
        <v>556</v>
      </c>
      <c r="J75" s="9" t="s">
        <v>855</v>
      </c>
    </row>
    <row r="76" spans="1:10" x14ac:dyDescent="0.25">
      <c r="A76" s="9" t="s">
        <v>410</v>
      </c>
      <c r="B76" s="9">
        <v>73</v>
      </c>
      <c r="C76" s="9">
        <v>12</v>
      </c>
      <c r="D76" s="9" t="s">
        <v>14</v>
      </c>
      <c r="E76" s="9" t="s">
        <v>546</v>
      </c>
      <c r="F76" s="9">
        <v>1</v>
      </c>
      <c r="G76" s="9">
        <v>1</v>
      </c>
      <c r="H76" s="9">
        <v>1</v>
      </c>
      <c r="I76" s="9" t="s">
        <v>547</v>
      </c>
      <c r="J76" s="9" t="s">
        <v>856</v>
      </c>
    </row>
    <row r="77" spans="1:10" ht="30" x14ac:dyDescent="0.25">
      <c r="A77" s="9" t="s">
        <v>410</v>
      </c>
      <c r="B77" s="9">
        <v>74</v>
      </c>
      <c r="C77" s="9">
        <v>12</v>
      </c>
      <c r="D77" s="9" t="s">
        <v>14</v>
      </c>
      <c r="E77" s="9" t="s">
        <v>542</v>
      </c>
      <c r="F77" s="9">
        <v>1</v>
      </c>
      <c r="G77" s="9">
        <v>2</v>
      </c>
      <c r="H77" s="9">
        <v>2</v>
      </c>
      <c r="I77" s="9" t="s">
        <v>812</v>
      </c>
      <c r="J77" s="9" t="s">
        <v>857</v>
      </c>
    </row>
    <row r="78" spans="1:10" x14ac:dyDescent="0.25">
      <c r="A78" s="9" t="s">
        <v>410</v>
      </c>
      <c r="B78" s="9">
        <v>75</v>
      </c>
      <c r="C78" s="9">
        <v>12</v>
      </c>
      <c r="D78" s="9" t="s">
        <v>14</v>
      </c>
      <c r="E78" s="9" t="s">
        <v>543</v>
      </c>
      <c r="F78" s="9">
        <v>1</v>
      </c>
      <c r="G78" s="9">
        <v>1</v>
      </c>
      <c r="H78" s="9">
        <v>1</v>
      </c>
      <c r="I78" s="9" t="s">
        <v>858</v>
      </c>
      <c r="J78" s="9" t="s">
        <v>859</v>
      </c>
    </row>
    <row r="79" spans="1:10" ht="30" x14ac:dyDescent="0.25">
      <c r="A79" s="9" t="s">
        <v>410</v>
      </c>
      <c r="B79" s="9">
        <v>76</v>
      </c>
      <c r="C79" s="9">
        <v>12</v>
      </c>
      <c r="D79" s="9" t="s">
        <v>14</v>
      </c>
      <c r="E79" s="9" t="s">
        <v>552</v>
      </c>
      <c r="F79" s="9">
        <v>1</v>
      </c>
      <c r="G79" s="9">
        <v>2</v>
      </c>
      <c r="H79" s="9">
        <v>2</v>
      </c>
      <c r="I79" s="9" t="s">
        <v>551</v>
      </c>
      <c r="J79" s="9" t="s">
        <v>860</v>
      </c>
    </row>
    <row r="80" spans="1:10" ht="30" x14ac:dyDescent="0.25">
      <c r="A80" s="9" t="s">
        <v>410</v>
      </c>
      <c r="B80" s="9">
        <v>77</v>
      </c>
      <c r="C80" s="9">
        <v>12</v>
      </c>
      <c r="D80" s="9" t="s">
        <v>14</v>
      </c>
      <c r="E80" s="9" t="s">
        <v>550</v>
      </c>
      <c r="F80" s="9">
        <v>1</v>
      </c>
      <c r="G80" s="9">
        <v>2</v>
      </c>
      <c r="H80" s="9">
        <v>2</v>
      </c>
      <c r="I80" s="9" t="s">
        <v>551</v>
      </c>
      <c r="J80" s="9" t="s">
        <v>861</v>
      </c>
    </row>
    <row r="81" spans="1:10" x14ac:dyDescent="0.25">
      <c r="A81" s="9" t="s">
        <v>410</v>
      </c>
      <c r="B81" s="9">
        <v>78</v>
      </c>
      <c r="C81" s="9">
        <v>12</v>
      </c>
      <c r="D81" s="9" t="s">
        <v>14</v>
      </c>
      <c r="E81" s="9" t="s">
        <v>563</v>
      </c>
      <c r="F81" s="9">
        <v>1</v>
      </c>
      <c r="G81" s="9">
        <v>1</v>
      </c>
      <c r="H81" s="9">
        <v>1</v>
      </c>
      <c r="I81" s="9" t="s">
        <v>136</v>
      </c>
      <c r="J81" s="9" t="s">
        <v>862</v>
      </c>
    </row>
    <row r="82" spans="1:10" x14ac:dyDescent="0.25">
      <c r="A82" s="9" t="s">
        <v>410</v>
      </c>
      <c r="B82" s="9">
        <v>79</v>
      </c>
      <c r="C82" s="9">
        <v>12</v>
      </c>
      <c r="D82" s="9" t="s">
        <v>14</v>
      </c>
      <c r="E82" s="9" t="s">
        <v>512</v>
      </c>
      <c r="F82" s="9">
        <v>1</v>
      </c>
      <c r="G82" s="9">
        <v>1</v>
      </c>
      <c r="H82" s="9">
        <v>1</v>
      </c>
      <c r="I82" s="9" t="s">
        <v>135</v>
      </c>
      <c r="J82" s="9" t="s">
        <v>863</v>
      </c>
    </row>
    <row r="83" spans="1:10" ht="45" x14ac:dyDescent="0.25">
      <c r="A83" s="9" t="s">
        <v>410</v>
      </c>
      <c r="B83" s="9">
        <v>80</v>
      </c>
      <c r="C83" s="9">
        <v>12</v>
      </c>
      <c r="D83" s="9" t="s">
        <v>14</v>
      </c>
      <c r="E83" s="9" t="s">
        <v>514</v>
      </c>
      <c r="F83" s="9">
        <v>1</v>
      </c>
      <c r="G83" s="9">
        <v>3</v>
      </c>
      <c r="H83" s="9">
        <v>3</v>
      </c>
      <c r="I83" s="9" t="s">
        <v>515</v>
      </c>
      <c r="J83" s="9" t="s">
        <v>864</v>
      </c>
    </row>
    <row r="84" spans="1:10" x14ac:dyDescent="0.25">
      <c r="A84" s="9" t="s">
        <v>410</v>
      </c>
      <c r="B84" s="9">
        <v>81</v>
      </c>
      <c r="C84" s="9">
        <v>12</v>
      </c>
      <c r="D84" s="9" t="s">
        <v>14</v>
      </c>
      <c r="E84" s="9" t="s">
        <v>516</v>
      </c>
      <c r="F84" s="9">
        <v>1</v>
      </c>
      <c r="G84" s="9">
        <v>1</v>
      </c>
      <c r="H84" s="9">
        <v>1</v>
      </c>
      <c r="I84" s="9" t="s">
        <v>517</v>
      </c>
      <c r="J84" s="9" t="s">
        <v>865</v>
      </c>
    </row>
    <row r="85" spans="1:10" ht="45" x14ac:dyDescent="0.25">
      <c r="A85" s="9" t="s">
        <v>410</v>
      </c>
      <c r="B85" s="9">
        <v>82</v>
      </c>
      <c r="C85" s="9">
        <v>12</v>
      </c>
      <c r="D85" s="9" t="s">
        <v>14</v>
      </c>
      <c r="E85" s="9" t="s">
        <v>522</v>
      </c>
      <c r="F85" s="9">
        <v>1</v>
      </c>
      <c r="G85" s="9">
        <v>8</v>
      </c>
      <c r="H85" s="9">
        <v>8</v>
      </c>
      <c r="I85" s="9" t="s">
        <v>866</v>
      </c>
      <c r="J85" s="9" t="s">
        <v>867</v>
      </c>
    </row>
    <row r="86" spans="1:10" ht="45" x14ac:dyDescent="0.25">
      <c r="A86" s="9" t="s">
        <v>410</v>
      </c>
      <c r="B86" s="9">
        <v>83</v>
      </c>
      <c r="C86" s="9">
        <v>12</v>
      </c>
      <c r="D86" s="9" t="s">
        <v>14</v>
      </c>
      <c r="E86" s="9" t="s">
        <v>518</v>
      </c>
      <c r="F86" s="9">
        <v>1</v>
      </c>
      <c r="G86" s="9">
        <v>3</v>
      </c>
      <c r="H86" s="9">
        <v>3</v>
      </c>
      <c r="I86" s="9" t="s">
        <v>519</v>
      </c>
      <c r="J86" s="9" t="s">
        <v>868</v>
      </c>
    </row>
    <row r="87" spans="1:10" x14ac:dyDescent="0.25">
      <c r="A87" s="9" t="s">
        <v>410</v>
      </c>
      <c r="B87" s="9">
        <v>84</v>
      </c>
      <c r="C87" s="9">
        <v>12</v>
      </c>
      <c r="D87" s="9" t="s">
        <v>14</v>
      </c>
      <c r="E87" s="9" t="s">
        <v>527</v>
      </c>
      <c r="F87" s="9">
        <v>1</v>
      </c>
      <c r="G87" s="9">
        <v>1</v>
      </c>
      <c r="H87" s="9">
        <v>1</v>
      </c>
      <c r="I87" s="9" t="s">
        <v>528</v>
      </c>
      <c r="J87" s="9" t="s">
        <v>869</v>
      </c>
    </row>
    <row r="88" spans="1:10" x14ac:dyDescent="0.25">
      <c r="A88" s="9" t="s">
        <v>410</v>
      </c>
      <c r="B88" s="9">
        <v>85</v>
      </c>
      <c r="C88" s="9">
        <v>12</v>
      </c>
      <c r="D88" s="9" t="s">
        <v>14</v>
      </c>
      <c r="E88" s="9" t="s">
        <v>525</v>
      </c>
      <c r="F88" s="9">
        <v>1</v>
      </c>
      <c r="G88" s="9">
        <v>1</v>
      </c>
      <c r="H88" s="9">
        <v>1</v>
      </c>
      <c r="I88" s="9" t="s">
        <v>526</v>
      </c>
      <c r="J88" s="9" t="s">
        <v>870</v>
      </c>
    </row>
    <row r="89" spans="1:10" ht="45" x14ac:dyDescent="0.25">
      <c r="A89" s="9" t="s">
        <v>410</v>
      </c>
      <c r="B89" s="9">
        <v>86</v>
      </c>
      <c r="C89" s="9">
        <v>12</v>
      </c>
      <c r="D89" s="9" t="s">
        <v>14</v>
      </c>
      <c r="E89" s="9" t="s">
        <v>523</v>
      </c>
      <c r="F89" s="9">
        <v>1</v>
      </c>
      <c r="G89" s="9">
        <v>6</v>
      </c>
      <c r="H89" s="9">
        <v>6</v>
      </c>
      <c r="I89" s="9" t="s">
        <v>871</v>
      </c>
      <c r="J89" s="9" t="s">
        <v>872</v>
      </c>
    </row>
    <row r="90" spans="1:10" x14ac:dyDescent="0.25">
      <c r="A90" s="9" t="s">
        <v>410</v>
      </c>
      <c r="B90" s="9">
        <v>87</v>
      </c>
      <c r="C90" s="9">
        <v>12</v>
      </c>
      <c r="D90" s="9" t="s">
        <v>14</v>
      </c>
      <c r="E90" s="9" t="s">
        <v>520</v>
      </c>
      <c r="F90" s="9">
        <v>1</v>
      </c>
      <c r="G90" s="9">
        <v>1</v>
      </c>
      <c r="H90" s="9">
        <v>1</v>
      </c>
      <c r="I90" s="9" t="s">
        <v>521</v>
      </c>
      <c r="J90" s="9" t="s">
        <v>873</v>
      </c>
    </row>
    <row r="91" spans="1:10" ht="45" x14ac:dyDescent="0.25">
      <c r="A91" s="9" t="s">
        <v>410</v>
      </c>
      <c r="B91" s="9">
        <v>88</v>
      </c>
      <c r="C91" s="9">
        <v>12</v>
      </c>
      <c r="D91" s="9" t="s">
        <v>14</v>
      </c>
      <c r="E91" s="9" t="s">
        <v>524</v>
      </c>
      <c r="F91" s="9">
        <v>1</v>
      </c>
      <c r="G91" s="9">
        <v>24</v>
      </c>
      <c r="H91" s="9">
        <v>24</v>
      </c>
      <c r="I91" s="9" t="s">
        <v>515</v>
      </c>
      <c r="J91" s="9" t="s">
        <v>874</v>
      </c>
    </row>
    <row r="92" spans="1:10" x14ac:dyDescent="0.25">
      <c r="A92" s="9" t="s">
        <v>410</v>
      </c>
      <c r="B92" s="9">
        <v>89</v>
      </c>
      <c r="C92" s="9">
        <v>12</v>
      </c>
      <c r="D92" s="9" t="s">
        <v>14</v>
      </c>
      <c r="E92" s="9" t="s">
        <v>478</v>
      </c>
      <c r="F92" s="9">
        <v>1</v>
      </c>
      <c r="G92" s="9">
        <v>1</v>
      </c>
      <c r="H92" s="9">
        <v>1</v>
      </c>
      <c r="I92" s="9" t="s">
        <v>479</v>
      </c>
      <c r="J92" s="9" t="s">
        <v>875</v>
      </c>
    </row>
    <row r="93" spans="1:10" x14ac:dyDescent="0.25">
      <c r="A93" s="9" t="s">
        <v>410</v>
      </c>
      <c r="B93" s="9">
        <v>90</v>
      </c>
      <c r="C93" s="9">
        <v>12</v>
      </c>
      <c r="D93" s="9" t="s">
        <v>14</v>
      </c>
      <c r="E93" s="9" t="s">
        <v>483</v>
      </c>
      <c r="F93" s="9">
        <v>1</v>
      </c>
      <c r="G93" s="9">
        <v>2</v>
      </c>
      <c r="H93" s="9">
        <v>2</v>
      </c>
      <c r="I93" s="9" t="s">
        <v>484</v>
      </c>
      <c r="J93" s="9" t="s">
        <v>876</v>
      </c>
    </row>
    <row r="94" spans="1:10" x14ac:dyDescent="0.25">
      <c r="A94" s="9" t="s">
        <v>410</v>
      </c>
      <c r="B94" s="9">
        <v>91</v>
      </c>
      <c r="C94" s="9">
        <v>12</v>
      </c>
      <c r="D94" s="9" t="s">
        <v>14</v>
      </c>
      <c r="E94" s="9" t="s">
        <v>481</v>
      </c>
      <c r="F94" s="9">
        <v>1</v>
      </c>
      <c r="G94" s="9">
        <v>1</v>
      </c>
      <c r="H94" s="9">
        <v>1</v>
      </c>
      <c r="I94" s="9" t="s">
        <v>482</v>
      </c>
      <c r="J94" s="9" t="s">
        <v>877</v>
      </c>
    </row>
    <row r="95" spans="1:10" x14ac:dyDescent="0.25">
      <c r="A95" s="9" t="s">
        <v>410</v>
      </c>
      <c r="B95" s="9">
        <v>92</v>
      </c>
      <c r="C95" s="9">
        <v>12</v>
      </c>
      <c r="D95" s="9" t="s">
        <v>14</v>
      </c>
      <c r="E95" s="9" t="s">
        <v>485</v>
      </c>
      <c r="F95" s="9">
        <v>1</v>
      </c>
      <c r="G95" s="9">
        <v>1</v>
      </c>
      <c r="H95" s="9">
        <v>1</v>
      </c>
      <c r="I95" s="9" t="s">
        <v>486</v>
      </c>
      <c r="J95" s="9" t="s">
        <v>878</v>
      </c>
    </row>
    <row r="96" spans="1:10" x14ac:dyDescent="0.25">
      <c r="A96" s="9" t="s">
        <v>410</v>
      </c>
      <c r="B96" s="9">
        <v>93</v>
      </c>
      <c r="C96" s="9">
        <v>12</v>
      </c>
      <c r="D96" s="9" t="s">
        <v>14</v>
      </c>
      <c r="E96" s="9" t="s">
        <v>480</v>
      </c>
      <c r="F96" s="9">
        <v>1</v>
      </c>
      <c r="G96" s="9">
        <v>1</v>
      </c>
      <c r="H96" s="9">
        <v>1</v>
      </c>
      <c r="I96" s="9" t="s">
        <v>479</v>
      </c>
      <c r="J96" s="9" t="s">
        <v>879</v>
      </c>
    </row>
    <row r="97" spans="1:10" x14ac:dyDescent="0.25">
      <c r="A97" s="9" t="s">
        <v>410</v>
      </c>
      <c r="B97" s="9">
        <v>94</v>
      </c>
      <c r="C97" s="9">
        <v>12</v>
      </c>
      <c r="D97" s="9" t="s">
        <v>14</v>
      </c>
      <c r="E97" s="9" t="s">
        <v>529</v>
      </c>
      <c r="F97" s="9">
        <v>1</v>
      </c>
      <c r="G97" s="9">
        <v>1</v>
      </c>
      <c r="H97" s="9">
        <v>1</v>
      </c>
      <c r="I97" s="9" t="s">
        <v>530</v>
      </c>
      <c r="J97" s="9" t="s">
        <v>880</v>
      </c>
    </row>
    <row r="98" spans="1:10" ht="90" x14ac:dyDescent="0.25">
      <c r="A98" s="9" t="s">
        <v>410</v>
      </c>
      <c r="B98" s="9">
        <v>95</v>
      </c>
      <c r="C98" s="9">
        <v>12</v>
      </c>
      <c r="D98" s="9" t="s">
        <v>14</v>
      </c>
      <c r="E98" s="9" t="s">
        <v>487</v>
      </c>
      <c r="F98" s="9">
        <v>1</v>
      </c>
      <c r="G98" s="9">
        <v>7</v>
      </c>
      <c r="H98" s="9">
        <v>7</v>
      </c>
      <c r="I98" s="9" t="s">
        <v>488</v>
      </c>
      <c r="J98" s="9" t="s">
        <v>881</v>
      </c>
    </row>
    <row r="99" spans="1:10" ht="60" x14ac:dyDescent="0.25">
      <c r="A99" s="9" t="s">
        <v>410</v>
      </c>
      <c r="B99" s="9">
        <v>96</v>
      </c>
      <c r="C99" s="9">
        <v>12</v>
      </c>
      <c r="D99" s="9" t="s">
        <v>14</v>
      </c>
      <c r="E99" s="9" t="s">
        <v>491</v>
      </c>
      <c r="F99" s="9">
        <v>1</v>
      </c>
      <c r="G99" s="9">
        <v>7</v>
      </c>
      <c r="H99" s="9">
        <v>7</v>
      </c>
      <c r="I99" s="9" t="s">
        <v>488</v>
      </c>
      <c r="J99" s="9" t="s">
        <v>882</v>
      </c>
    </row>
    <row r="100" spans="1:10" x14ac:dyDescent="0.25">
      <c r="A100" s="9" t="s">
        <v>410</v>
      </c>
      <c r="B100" s="9">
        <v>97</v>
      </c>
      <c r="C100" s="9">
        <v>12</v>
      </c>
      <c r="D100" s="9" t="s">
        <v>14</v>
      </c>
      <c r="E100" s="9" t="s">
        <v>501</v>
      </c>
      <c r="F100" s="9">
        <v>1</v>
      </c>
      <c r="G100" s="9">
        <v>5</v>
      </c>
      <c r="H100" s="9">
        <v>0</v>
      </c>
      <c r="I100" s="9" t="s">
        <v>500</v>
      </c>
      <c r="J100" s="9" t="s">
        <v>962</v>
      </c>
    </row>
    <row r="101" spans="1:10" ht="30" x14ac:dyDescent="0.25">
      <c r="A101" s="9" t="s">
        <v>410</v>
      </c>
      <c r="B101" s="9">
        <v>98</v>
      </c>
      <c r="C101" s="9">
        <v>12</v>
      </c>
      <c r="D101" s="9" t="s">
        <v>14</v>
      </c>
      <c r="E101" s="9" t="s">
        <v>490</v>
      </c>
      <c r="F101" s="9">
        <v>1</v>
      </c>
      <c r="G101" s="9">
        <v>2</v>
      </c>
      <c r="H101" s="9">
        <v>2</v>
      </c>
      <c r="I101" s="9" t="s">
        <v>496</v>
      </c>
      <c r="J101" s="9" t="s">
        <v>883</v>
      </c>
    </row>
    <row r="102" spans="1:10" ht="30" x14ac:dyDescent="0.25">
      <c r="A102" s="9" t="s">
        <v>410</v>
      </c>
      <c r="B102" s="9">
        <v>99</v>
      </c>
      <c r="C102" s="9">
        <v>12</v>
      </c>
      <c r="D102" s="9" t="s">
        <v>14</v>
      </c>
      <c r="E102" s="9" t="s">
        <v>499</v>
      </c>
      <c r="F102" s="9">
        <v>1</v>
      </c>
      <c r="G102" s="9">
        <v>5</v>
      </c>
      <c r="H102" s="9">
        <v>5</v>
      </c>
      <c r="I102" s="9" t="s">
        <v>500</v>
      </c>
      <c r="J102" s="9" t="s">
        <v>884</v>
      </c>
    </row>
    <row r="103" spans="1:10" ht="30" x14ac:dyDescent="0.25">
      <c r="A103" s="9" t="s">
        <v>410</v>
      </c>
      <c r="B103" s="9">
        <v>100</v>
      </c>
      <c r="C103" s="9">
        <v>12</v>
      </c>
      <c r="D103" s="9" t="s">
        <v>14</v>
      </c>
      <c r="E103" s="9" t="s">
        <v>494</v>
      </c>
      <c r="F103" s="9">
        <v>1</v>
      </c>
      <c r="G103" s="9">
        <v>3</v>
      </c>
      <c r="H103" s="9">
        <v>3</v>
      </c>
      <c r="I103" s="9" t="s">
        <v>493</v>
      </c>
      <c r="J103" s="9" t="s">
        <v>885</v>
      </c>
    </row>
    <row r="104" spans="1:10" ht="30" x14ac:dyDescent="0.25">
      <c r="A104" s="9" t="s">
        <v>410</v>
      </c>
      <c r="B104" s="9">
        <v>101</v>
      </c>
      <c r="C104" s="9">
        <v>12</v>
      </c>
      <c r="D104" s="9" t="s">
        <v>14</v>
      </c>
      <c r="E104" s="9" t="s">
        <v>492</v>
      </c>
      <c r="F104" s="9">
        <v>1</v>
      </c>
      <c r="G104" s="9">
        <v>3</v>
      </c>
      <c r="H104" s="9">
        <v>3</v>
      </c>
      <c r="I104" s="9" t="s">
        <v>493</v>
      </c>
      <c r="J104" s="9" t="s">
        <v>886</v>
      </c>
    </row>
    <row r="105" spans="1:10" x14ac:dyDescent="0.25">
      <c r="A105" s="9" t="s">
        <v>410</v>
      </c>
      <c r="B105" s="9">
        <v>102</v>
      </c>
      <c r="C105" s="9">
        <v>12</v>
      </c>
      <c r="D105" s="9" t="s">
        <v>14</v>
      </c>
      <c r="E105" s="9" t="s">
        <v>495</v>
      </c>
      <c r="F105" s="9">
        <v>1</v>
      </c>
      <c r="G105" s="9">
        <v>2</v>
      </c>
      <c r="H105" s="9">
        <v>2</v>
      </c>
      <c r="I105" s="9" t="s">
        <v>496</v>
      </c>
      <c r="J105" s="9" t="s">
        <v>887</v>
      </c>
    </row>
    <row r="106" spans="1:10" x14ac:dyDescent="0.25">
      <c r="A106" s="9" t="s">
        <v>410</v>
      </c>
      <c r="B106" s="9">
        <v>103</v>
      </c>
      <c r="C106" s="9">
        <v>12</v>
      </c>
      <c r="D106" s="9" t="s">
        <v>14</v>
      </c>
      <c r="E106" s="9" t="s">
        <v>513</v>
      </c>
      <c r="F106" s="9">
        <v>1</v>
      </c>
      <c r="G106" s="9">
        <v>2</v>
      </c>
      <c r="H106" s="9">
        <v>2</v>
      </c>
      <c r="I106" s="9" t="s">
        <v>472</v>
      </c>
      <c r="J106" s="9" t="s">
        <v>888</v>
      </c>
    </row>
    <row r="107" spans="1:10" x14ac:dyDescent="0.25">
      <c r="A107" s="9" t="s">
        <v>410</v>
      </c>
      <c r="B107" s="9">
        <v>104</v>
      </c>
      <c r="C107" s="9">
        <v>12</v>
      </c>
      <c r="D107" s="9" t="s">
        <v>14</v>
      </c>
      <c r="E107" s="9" t="s">
        <v>471</v>
      </c>
      <c r="F107" s="9">
        <v>1</v>
      </c>
      <c r="G107" s="9">
        <v>2</v>
      </c>
      <c r="H107" s="9">
        <v>2</v>
      </c>
      <c r="I107" s="9" t="s">
        <v>472</v>
      </c>
      <c r="J107" s="9" t="s">
        <v>920</v>
      </c>
    </row>
    <row r="108" spans="1:10" x14ac:dyDescent="0.25">
      <c r="A108" s="9" t="s">
        <v>410</v>
      </c>
      <c r="B108" s="9">
        <v>105</v>
      </c>
      <c r="C108" s="9">
        <v>12</v>
      </c>
      <c r="D108" s="9" t="s">
        <v>14</v>
      </c>
      <c r="E108" s="9" t="s">
        <v>87</v>
      </c>
      <c r="F108" s="9">
        <v>1</v>
      </c>
      <c r="G108" s="9">
        <v>2</v>
      </c>
      <c r="H108" s="9">
        <v>2</v>
      </c>
      <c r="I108" s="9" t="s">
        <v>472</v>
      </c>
      <c r="J108" s="9" t="s">
        <v>921</v>
      </c>
    </row>
    <row r="109" spans="1:10" x14ac:dyDescent="0.25">
      <c r="A109" s="9" t="s">
        <v>410</v>
      </c>
      <c r="B109" s="9">
        <v>106</v>
      </c>
      <c r="C109" s="9">
        <v>12</v>
      </c>
      <c r="D109" s="9" t="s">
        <v>14</v>
      </c>
      <c r="E109" s="9" t="s">
        <v>15</v>
      </c>
      <c r="F109" s="9">
        <v>1</v>
      </c>
      <c r="G109" s="9">
        <v>2</v>
      </c>
      <c r="H109" s="9">
        <v>2</v>
      </c>
      <c r="I109" s="9" t="s">
        <v>472</v>
      </c>
      <c r="J109" s="9" t="s">
        <v>889</v>
      </c>
    </row>
    <row r="110" spans="1:10" x14ac:dyDescent="0.25">
      <c r="A110" s="9" t="s">
        <v>410</v>
      </c>
      <c r="B110" s="9">
        <v>107</v>
      </c>
      <c r="C110" s="9">
        <v>12</v>
      </c>
      <c r="D110" s="9" t="s">
        <v>14</v>
      </c>
      <c r="E110" s="9" t="s">
        <v>17</v>
      </c>
      <c r="F110" s="9">
        <v>1</v>
      </c>
      <c r="G110" s="9">
        <v>1</v>
      </c>
      <c r="H110" s="9">
        <v>1</v>
      </c>
      <c r="I110" s="9" t="s">
        <v>16</v>
      </c>
      <c r="J110" s="9" t="s">
        <v>890</v>
      </c>
    </row>
    <row r="111" spans="1:10" ht="30" x14ac:dyDescent="0.25">
      <c r="A111" s="9" t="s">
        <v>410</v>
      </c>
      <c r="B111" s="9">
        <v>108</v>
      </c>
      <c r="C111" s="9">
        <v>12</v>
      </c>
      <c r="D111" s="9" t="s">
        <v>14</v>
      </c>
      <c r="E111" s="9" t="s">
        <v>553</v>
      </c>
      <c r="F111" s="9">
        <v>1</v>
      </c>
      <c r="G111" s="9">
        <v>12</v>
      </c>
      <c r="H111" s="9">
        <v>12</v>
      </c>
      <c r="I111" s="9" t="s">
        <v>891</v>
      </c>
      <c r="J111" s="9" t="s">
        <v>892</v>
      </c>
    </row>
    <row r="112" spans="1:10" ht="30" x14ac:dyDescent="0.25">
      <c r="A112" s="9" t="s">
        <v>410</v>
      </c>
      <c r="B112" s="9">
        <v>109</v>
      </c>
      <c r="C112" s="9">
        <v>12</v>
      </c>
      <c r="D112" s="9" t="s">
        <v>14</v>
      </c>
      <c r="E112" s="9" t="s">
        <v>554</v>
      </c>
      <c r="F112" s="9">
        <v>1</v>
      </c>
      <c r="G112" s="9">
        <v>12</v>
      </c>
      <c r="H112" s="9">
        <v>12</v>
      </c>
      <c r="I112" s="9" t="s">
        <v>891</v>
      </c>
      <c r="J112" s="9" t="s">
        <v>893</v>
      </c>
    </row>
    <row r="113" spans="1:10" x14ac:dyDescent="0.25">
      <c r="A113" s="9" t="s">
        <v>410</v>
      </c>
      <c r="B113" s="9">
        <v>110</v>
      </c>
      <c r="C113" s="9">
        <v>12</v>
      </c>
      <c r="D113" s="9" t="s">
        <v>14</v>
      </c>
      <c r="E113" s="9" t="s">
        <v>541</v>
      </c>
      <c r="F113" s="9">
        <v>1</v>
      </c>
      <c r="G113" s="9">
        <v>1</v>
      </c>
      <c r="H113" s="9">
        <v>1</v>
      </c>
      <c r="I113" s="9" t="s">
        <v>86</v>
      </c>
      <c r="J113" s="9" t="s">
        <v>894</v>
      </c>
    </row>
    <row r="114" spans="1:10" x14ac:dyDescent="0.25">
      <c r="A114" s="9" t="s">
        <v>410</v>
      </c>
      <c r="B114" s="9">
        <v>111</v>
      </c>
      <c r="C114" s="9">
        <v>12</v>
      </c>
      <c r="D114" s="9" t="s">
        <v>14</v>
      </c>
      <c r="E114" s="9" t="s">
        <v>532</v>
      </c>
      <c r="F114" s="9">
        <v>1</v>
      </c>
      <c r="G114" s="9">
        <v>1</v>
      </c>
      <c r="H114" s="9">
        <v>1</v>
      </c>
      <c r="I114" s="9" t="s">
        <v>84</v>
      </c>
      <c r="J114" s="9" t="s">
        <v>895</v>
      </c>
    </row>
    <row r="115" spans="1:10" x14ac:dyDescent="0.25">
      <c r="A115" s="9" t="s">
        <v>410</v>
      </c>
      <c r="B115" s="9">
        <v>112</v>
      </c>
      <c r="C115" s="9">
        <v>12</v>
      </c>
      <c r="D115" s="9" t="s">
        <v>14</v>
      </c>
      <c r="E115" s="9" t="s">
        <v>540</v>
      </c>
      <c r="F115" s="9">
        <v>1</v>
      </c>
      <c r="G115" s="9">
        <v>1</v>
      </c>
      <c r="H115" s="9">
        <v>1</v>
      </c>
      <c r="I115" s="9" t="s">
        <v>85</v>
      </c>
      <c r="J115" s="9" t="s">
        <v>896</v>
      </c>
    </row>
    <row r="116" spans="1:10" x14ac:dyDescent="0.25">
      <c r="A116" s="9" t="s">
        <v>410</v>
      </c>
      <c r="B116" s="9">
        <v>113</v>
      </c>
      <c r="C116" s="9">
        <v>12</v>
      </c>
      <c r="D116" s="9" t="s">
        <v>14</v>
      </c>
      <c r="E116" s="9" t="s">
        <v>531</v>
      </c>
      <c r="F116" s="9">
        <v>1</v>
      </c>
      <c r="G116" s="9">
        <v>1</v>
      </c>
      <c r="H116" s="9">
        <v>1</v>
      </c>
      <c r="I116" s="9" t="s">
        <v>83</v>
      </c>
      <c r="J116" s="9" t="s">
        <v>897</v>
      </c>
    </row>
    <row r="117" spans="1:10" x14ac:dyDescent="0.25">
      <c r="A117" s="9" t="s">
        <v>410</v>
      </c>
      <c r="B117" s="9">
        <v>114</v>
      </c>
      <c r="C117" s="9">
        <v>12</v>
      </c>
      <c r="D117" s="9" t="s">
        <v>14</v>
      </c>
      <c r="E117" s="9" t="s">
        <v>533</v>
      </c>
      <c r="F117" s="9">
        <v>1</v>
      </c>
      <c r="G117" s="9">
        <v>2</v>
      </c>
      <c r="H117" s="9">
        <v>2</v>
      </c>
      <c r="I117" s="9" t="s">
        <v>534</v>
      </c>
      <c r="J117" s="9" t="s">
        <v>898</v>
      </c>
    </row>
    <row r="118" spans="1:10" x14ac:dyDescent="0.25">
      <c r="A118" s="9" t="s">
        <v>410</v>
      </c>
      <c r="B118" s="9">
        <v>115</v>
      </c>
      <c r="C118" s="9">
        <v>12</v>
      </c>
      <c r="D118" s="9" t="s">
        <v>14</v>
      </c>
      <c r="E118" s="9" t="s">
        <v>536</v>
      </c>
      <c r="F118" s="9">
        <v>1</v>
      </c>
      <c r="G118" s="9">
        <v>1</v>
      </c>
      <c r="H118" s="9">
        <v>1</v>
      </c>
      <c r="I118" s="9" t="s">
        <v>85</v>
      </c>
      <c r="J118" s="9" t="s">
        <v>963</v>
      </c>
    </row>
    <row r="119" spans="1:10" x14ac:dyDescent="0.25">
      <c r="A119" s="9" t="s">
        <v>410</v>
      </c>
      <c r="B119" s="9">
        <v>116</v>
      </c>
      <c r="C119" s="9">
        <v>12</v>
      </c>
      <c r="D119" s="9" t="s">
        <v>14</v>
      </c>
      <c r="E119" s="9" t="s">
        <v>535</v>
      </c>
      <c r="F119" s="9">
        <v>1</v>
      </c>
      <c r="G119" s="9">
        <v>2</v>
      </c>
      <c r="H119" s="9">
        <v>2</v>
      </c>
      <c r="I119" s="9" t="s">
        <v>534</v>
      </c>
      <c r="J119" s="9" t="s">
        <v>964</v>
      </c>
    </row>
    <row r="120" spans="1:10" x14ac:dyDescent="0.25">
      <c r="A120" s="9" t="s">
        <v>410</v>
      </c>
      <c r="B120" s="9">
        <v>117</v>
      </c>
      <c r="C120" s="9">
        <v>12</v>
      </c>
      <c r="D120" s="9" t="s">
        <v>14</v>
      </c>
      <c r="E120" s="9" t="s">
        <v>537</v>
      </c>
      <c r="F120" s="9">
        <v>1</v>
      </c>
      <c r="G120" s="9">
        <v>1</v>
      </c>
      <c r="H120" s="9">
        <v>1</v>
      </c>
      <c r="I120" s="9" t="s">
        <v>83</v>
      </c>
      <c r="J120" s="9" t="s">
        <v>965</v>
      </c>
    </row>
    <row r="121" spans="1:10" ht="30" x14ac:dyDescent="0.25">
      <c r="A121" s="9" t="s">
        <v>410</v>
      </c>
      <c r="B121" s="9">
        <v>118</v>
      </c>
      <c r="C121" s="9">
        <v>12</v>
      </c>
      <c r="D121" s="9" t="s">
        <v>14</v>
      </c>
      <c r="E121" s="9" t="s">
        <v>538</v>
      </c>
      <c r="F121" s="9">
        <v>1</v>
      </c>
      <c r="G121" s="9">
        <v>2</v>
      </c>
      <c r="H121" s="9">
        <v>2</v>
      </c>
      <c r="I121" s="9" t="s">
        <v>539</v>
      </c>
      <c r="J121" s="9" t="s">
        <v>966</v>
      </c>
    </row>
    <row r="122" spans="1:10" x14ac:dyDescent="0.25">
      <c r="A122" s="9" t="s">
        <v>410</v>
      </c>
      <c r="B122" s="9">
        <v>119</v>
      </c>
      <c r="C122" s="9">
        <v>12</v>
      </c>
      <c r="D122" s="9" t="s">
        <v>566</v>
      </c>
      <c r="E122" s="9" t="s">
        <v>573</v>
      </c>
      <c r="F122" s="9">
        <v>1</v>
      </c>
      <c r="G122" s="9">
        <v>5</v>
      </c>
      <c r="H122" s="9">
        <v>5</v>
      </c>
      <c r="I122" s="9" t="s">
        <v>574</v>
      </c>
      <c r="J122" s="9" t="s">
        <v>899</v>
      </c>
    </row>
    <row r="123" spans="1:10" x14ac:dyDescent="0.25">
      <c r="A123" s="9" t="s">
        <v>410</v>
      </c>
      <c r="B123" s="9">
        <v>120</v>
      </c>
      <c r="C123" s="9">
        <v>12</v>
      </c>
      <c r="D123" s="9" t="s">
        <v>566</v>
      </c>
      <c r="E123" s="9" t="s">
        <v>575</v>
      </c>
      <c r="F123" s="9">
        <v>1</v>
      </c>
      <c r="G123" s="9">
        <v>5</v>
      </c>
      <c r="H123" s="9">
        <v>5</v>
      </c>
      <c r="I123" s="9" t="s">
        <v>576</v>
      </c>
      <c r="J123" s="9" t="s">
        <v>900</v>
      </c>
    </row>
    <row r="124" spans="1:10" x14ac:dyDescent="0.25">
      <c r="A124" s="9" t="s">
        <v>410</v>
      </c>
      <c r="B124" s="9">
        <v>121</v>
      </c>
      <c r="C124" s="9">
        <v>12</v>
      </c>
      <c r="D124" s="9" t="s">
        <v>566</v>
      </c>
      <c r="E124" s="9" t="s">
        <v>577</v>
      </c>
      <c r="F124" s="9">
        <v>1</v>
      </c>
      <c r="G124" s="9">
        <v>6</v>
      </c>
      <c r="H124" s="9">
        <v>0</v>
      </c>
      <c r="I124" s="9" t="s">
        <v>578</v>
      </c>
      <c r="J124" s="9" t="s">
        <v>901</v>
      </c>
    </row>
    <row r="125" spans="1:10" x14ac:dyDescent="0.25">
      <c r="A125" s="9" t="s">
        <v>410</v>
      </c>
      <c r="B125" s="9">
        <v>122</v>
      </c>
      <c r="C125" s="9">
        <v>12</v>
      </c>
      <c r="D125" s="9" t="s">
        <v>566</v>
      </c>
      <c r="E125" s="9" t="s">
        <v>581</v>
      </c>
      <c r="F125" s="9">
        <v>1</v>
      </c>
      <c r="G125" s="9">
        <v>1</v>
      </c>
      <c r="H125" s="9">
        <v>1</v>
      </c>
      <c r="I125" s="9" t="s">
        <v>360</v>
      </c>
      <c r="J125" s="9" t="s">
        <v>902</v>
      </c>
    </row>
    <row r="126" spans="1:10" x14ac:dyDescent="0.25">
      <c r="A126" s="9" t="s">
        <v>410</v>
      </c>
      <c r="B126" s="9">
        <v>123</v>
      </c>
      <c r="C126" s="9">
        <v>12</v>
      </c>
      <c r="D126" s="9" t="s">
        <v>566</v>
      </c>
      <c r="E126" s="9" t="s">
        <v>579</v>
      </c>
      <c r="F126" s="9">
        <v>1</v>
      </c>
      <c r="G126" s="9">
        <v>1</v>
      </c>
      <c r="H126" s="9">
        <v>1</v>
      </c>
      <c r="I126" s="9" t="s">
        <v>360</v>
      </c>
      <c r="J126" s="9" t="s">
        <v>903</v>
      </c>
    </row>
    <row r="127" spans="1:10" x14ac:dyDescent="0.25">
      <c r="A127" s="9" t="s">
        <v>410</v>
      </c>
      <c r="B127" s="9">
        <v>124</v>
      </c>
      <c r="C127" s="9">
        <v>12</v>
      </c>
      <c r="D127" s="9" t="s">
        <v>566</v>
      </c>
      <c r="E127" s="9" t="s">
        <v>580</v>
      </c>
      <c r="F127" s="9">
        <v>1</v>
      </c>
      <c r="G127" s="9">
        <v>2</v>
      </c>
      <c r="H127" s="9">
        <v>2</v>
      </c>
      <c r="I127" s="9" t="s">
        <v>360</v>
      </c>
      <c r="J127" s="9" t="s">
        <v>904</v>
      </c>
    </row>
    <row r="128" spans="1:10" x14ac:dyDescent="0.25">
      <c r="A128" s="9" t="s">
        <v>410</v>
      </c>
      <c r="B128" s="9">
        <v>125</v>
      </c>
      <c r="C128" s="9">
        <v>12</v>
      </c>
      <c r="D128" s="9" t="s">
        <v>566</v>
      </c>
      <c r="E128" s="9" t="s">
        <v>584</v>
      </c>
      <c r="F128" s="9">
        <v>1</v>
      </c>
      <c r="G128" s="9">
        <v>2</v>
      </c>
      <c r="H128" s="9">
        <v>2</v>
      </c>
      <c r="I128" s="9" t="s">
        <v>360</v>
      </c>
      <c r="J128" s="9" t="s">
        <v>905</v>
      </c>
    </row>
    <row r="129" spans="1:10" x14ac:dyDescent="0.25">
      <c r="A129" s="9" t="s">
        <v>410</v>
      </c>
      <c r="B129" s="9">
        <v>126</v>
      </c>
      <c r="C129" s="9">
        <v>12</v>
      </c>
      <c r="D129" s="9" t="s">
        <v>566</v>
      </c>
      <c r="E129" s="9" t="s">
        <v>582</v>
      </c>
      <c r="F129" s="9">
        <v>1</v>
      </c>
      <c r="G129" s="9">
        <v>2</v>
      </c>
      <c r="H129" s="9">
        <v>2</v>
      </c>
      <c r="I129" s="9" t="s">
        <v>360</v>
      </c>
      <c r="J129" s="9" t="s">
        <v>906</v>
      </c>
    </row>
    <row r="130" spans="1:10" x14ac:dyDescent="0.25">
      <c r="A130" s="9" t="s">
        <v>410</v>
      </c>
      <c r="B130" s="9">
        <v>127</v>
      </c>
      <c r="C130" s="9">
        <v>12</v>
      </c>
      <c r="D130" s="9" t="s">
        <v>566</v>
      </c>
      <c r="E130" s="9" t="s">
        <v>583</v>
      </c>
      <c r="F130" s="9">
        <v>1</v>
      </c>
      <c r="G130" s="9">
        <v>2</v>
      </c>
      <c r="H130" s="9">
        <v>2</v>
      </c>
      <c r="I130" s="9" t="s">
        <v>360</v>
      </c>
      <c r="J130" s="9" t="s">
        <v>907</v>
      </c>
    </row>
    <row r="131" spans="1:10" x14ac:dyDescent="0.25">
      <c r="A131" s="9" t="s">
        <v>410</v>
      </c>
      <c r="B131" s="9">
        <v>128</v>
      </c>
      <c r="C131" s="9">
        <v>12</v>
      </c>
      <c r="D131" s="9" t="s">
        <v>566</v>
      </c>
      <c r="E131" s="9" t="s">
        <v>585</v>
      </c>
      <c r="F131" s="9">
        <v>1</v>
      </c>
      <c r="G131" s="9">
        <v>1</v>
      </c>
      <c r="H131" s="9">
        <v>1</v>
      </c>
      <c r="I131" s="9" t="s">
        <v>360</v>
      </c>
      <c r="J131" s="9" t="s">
        <v>908</v>
      </c>
    </row>
    <row r="132" spans="1:10" x14ac:dyDescent="0.25">
      <c r="A132" s="9" t="s">
        <v>410</v>
      </c>
      <c r="B132" s="9">
        <v>129</v>
      </c>
      <c r="C132" s="9">
        <v>12</v>
      </c>
      <c r="D132" s="9" t="s">
        <v>566</v>
      </c>
      <c r="E132" s="9" t="s">
        <v>568</v>
      </c>
      <c r="F132" s="9">
        <v>1</v>
      </c>
      <c r="G132" s="9">
        <v>1</v>
      </c>
      <c r="H132" s="9">
        <v>1</v>
      </c>
      <c r="I132" s="9" t="s">
        <v>362</v>
      </c>
      <c r="J132" s="9" t="s">
        <v>909</v>
      </c>
    </row>
    <row r="133" spans="1:10" x14ac:dyDescent="0.25">
      <c r="A133" s="9" t="s">
        <v>410</v>
      </c>
      <c r="B133" s="9">
        <v>130</v>
      </c>
      <c r="C133" s="9">
        <v>12</v>
      </c>
      <c r="D133" s="9" t="s">
        <v>566</v>
      </c>
      <c r="E133" s="9" t="s">
        <v>567</v>
      </c>
      <c r="F133" s="9">
        <v>1</v>
      </c>
      <c r="G133" s="9">
        <v>1</v>
      </c>
      <c r="H133" s="9">
        <v>1</v>
      </c>
      <c r="I133" s="9" t="s">
        <v>362</v>
      </c>
      <c r="J133" s="9" t="s">
        <v>910</v>
      </c>
    </row>
    <row r="134" spans="1:10" x14ac:dyDescent="0.25">
      <c r="A134" s="9" t="s">
        <v>410</v>
      </c>
      <c r="B134" s="9">
        <v>131</v>
      </c>
      <c r="C134" s="9">
        <v>12</v>
      </c>
      <c r="D134" s="9" t="s">
        <v>566</v>
      </c>
      <c r="E134" s="9" t="s">
        <v>569</v>
      </c>
      <c r="F134" s="9">
        <v>1</v>
      </c>
      <c r="G134" s="9">
        <v>1</v>
      </c>
      <c r="H134" s="9">
        <v>1</v>
      </c>
      <c r="I134" s="9" t="s">
        <v>911</v>
      </c>
      <c r="J134" s="9" t="s">
        <v>912</v>
      </c>
    </row>
    <row r="135" spans="1:10" x14ac:dyDescent="0.25">
      <c r="A135" s="9" t="s">
        <v>410</v>
      </c>
      <c r="B135" s="9">
        <v>132</v>
      </c>
      <c r="C135" s="9">
        <v>12</v>
      </c>
      <c r="D135" s="9" t="s">
        <v>566</v>
      </c>
      <c r="E135" s="9" t="s">
        <v>570</v>
      </c>
      <c r="F135" s="9">
        <v>1</v>
      </c>
      <c r="G135" s="9">
        <v>1</v>
      </c>
      <c r="H135" s="9">
        <v>1</v>
      </c>
      <c r="I135" s="9" t="s">
        <v>911</v>
      </c>
      <c r="J135" s="9" t="s">
        <v>913</v>
      </c>
    </row>
    <row r="136" spans="1:10" x14ac:dyDescent="0.25">
      <c r="A136" s="9" t="s">
        <v>410</v>
      </c>
      <c r="B136" s="9">
        <v>133</v>
      </c>
      <c r="C136" s="9">
        <v>12</v>
      </c>
      <c r="D136" s="9" t="s">
        <v>566</v>
      </c>
      <c r="E136" s="9" t="s">
        <v>571</v>
      </c>
      <c r="F136" s="9">
        <v>1</v>
      </c>
      <c r="G136" s="9">
        <v>1</v>
      </c>
      <c r="H136" s="9">
        <v>1</v>
      </c>
      <c r="I136" s="9" t="s">
        <v>361</v>
      </c>
      <c r="J136" s="9" t="s">
        <v>914</v>
      </c>
    </row>
    <row r="137" spans="1:10" x14ac:dyDescent="0.25">
      <c r="A137" s="9" t="s">
        <v>410</v>
      </c>
      <c r="B137" s="9">
        <v>134</v>
      </c>
      <c r="C137" s="9">
        <v>12</v>
      </c>
      <c r="D137" s="9" t="s">
        <v>566</v>
      </c>
      <c r="E137" s="9" t="s">
        <v>572</v>
      </c>
      <c r="F137" s="9">
        <v>1</v>
      </c>
      <c r="G137" s="9">
        <v>1</v>
      </c>
      <c r="H137" s="9">
        <v>1</v>
      </c>
      <c r="I137" s="9" t="s">
        <v>361</v>
      </c>
      <c r="J137" s="9" t="s">
        <v>915</v>
      </c>
    </row>
    <row r="138" spans="1:10" x14ac:dyDescent="0.25">
      <c r="A138" s="9" t="s">
        <v>410</v>
      </c>
      <c r="B138" s="9">
        <v>135</v>
      </c>
      <c r="C138" s="9">
        <v>12</v>
      </c>
      <c r="D138" s="9" t="s">
        <v>586</v>
      </c>
      <c r="E138" s="9" t="s">
        <v>589</v>
      </c>
      <c r="F138" s="9">
        <v>1</v>
      </c>
      <c r="G138" s="9" t="s">
        <v>590</v>
      </c>
      <c r="H138" s="9" t="s">
        <v>590</v>
      </c>
      <c r="I138" s="9" t="s">
        <v>125</v>
      </c>
      <c r="J138" s="9"/>
    </row>
    <row r="139" spans="1:10" x14ac:dyDescent="0.25">
      <c r="A139" s="9" t="s">
        <v>410</v>
      </c>
      <c r="B139" s="9">
        <v>136</v>
      </c>
      <c r="C139" s="9">
        <v>12</v>
      </c>
      <c r="D139" s="9" t="s">
        <v>586</v>
      </c>
      <c r="E139" s="9" t="s">
        <v>591</v>
      </c>
      <c r="F139" s="9">
        <v>1</v>
      </c>
      <c r="G139" s="9" t="s">
        <v>592</v>
      </c>
      <c r="H139" s="9" t="s">
        <v>592</v>
      </c>
      <c r="I139" s="9" t="s">
        <v>125</v>
      </c>
      <c r="J139" s="9"/>
    </row>
    <row r="140" spans="1:10" x14ac:dyDescent="0.25">
      <c r="A140" s="9" t="s">
        <v>410</v>
      </c>
      <c r="B140" s="9">
        <v>137</v>
      </c>
      <c r="C140" s="9">
        <v>12</v>
      </c>
      <c r="D140" s="9" t="s">
        <v>586</v>
      </c>
      <c r="E140" s="9" t="s">
        <v>587</v>
      </c>
      <c r="F140" s="9">
        <v>1</v>
      </c>
      <c r="G140" s="9" t="s">
        <v>588</v>
      </c>
      <c r="H140" s="9" t="s">
        <v>588</v>
      </c>
      <c r="I140" s="9" t="s">
        <v>125</v>
      </c>
      <c r="J140" s="9"/>
    </row>
    <row r="141" spans="1:10" ht="60" x14ac:dyDescent="0.25">
      <c r="A141" s="9" t="s">
        <v>410</v>
      </c>
      <c r="B141" s="9">
        <v>139</v>
      </c>
      <c r="C141" s="9">
        <v>12</v>
      </c>
      <c r="D141" s="9"/>
      <c r="E141" s="9"/>
      <c r="F141" s="9">
        <v>1</v>
      </c>
      <c r="G141" s="9">
        <v>3</v>
      </c>
      <c r="H141" s="9">
        <v>0</v>
      </c>
      <c r="I141" s="9" t="s">
        <v>476</v>
      </c>
      <c r="J141" s="9" t="s">
        <v>916</v>
      </c>
    </row>
    <row r="142" spans="1:10" ht="30" x14ac:dyDescent="0.25">
      <c r="A142" s="9" t="s">
        <v>410</v>
      </c>
      <c r="B142" s="9">
        <v>138</v>
      </c>
      <c r="C142" s="9">
        <v>10</v>
      </c>
      <c r="D142" s="9" t="s">
        <v>64</v>
      </c>
      <c r="E142" s="9" t="s">
        <v>970</v>
      </c>
      <c r="F142" s="9">
        <v>1</v>
      </c>
      <c r="G142" s="9">
        <v>3</v>
      </c>
      <c r="H142" s="9">
        <v>0</v>
      </c>
      <c r="I142" s="9" t="s">
        <v>967</v>
      </c>
      <c r="J142" s="9" t="s">
        <v>968</v>
      </c>
    </row>
    <row r="143" spans="1:10" x14ac:dyDescent="0.25">
      <c r="A143" s="9" t="s">
        <v>410</v>
      </c>
      <c r="B143" s="9">
        <v>140</v>
      </c>
      <c r="C143" s="9">
        <v>12</v>
      </c>
      <c r="D143" s="9" t="s">
        <v>975</v>
      </c>
      <c r="E143" s="9" t="s">
        <v>974</v>
      </c>
      <c r="F143" s="9">
        <v>1</v>
      </c>
      <c r="G143" s="9">
        <v>2</v>
      </c>
      <c r="H143" s="9">
        <v>0</v>
      </c>
      <c r="I143" s="9" t="s">
        <v>1176</v>
      </c>
      <c r="J143" s="9" t="s">
        <v>961</v>
      </c>
    </row>
    <row r="144" spans="1:10" x14ac:dyDescent="0.25">
      <c r="A144" s="9" t="s">
        <v>410</v>
      </c>
      <c r="B144" s="9">
        <v>140</v>
      </c>
      <c r="C144" s="9"/>
      <c r="D144" s="9"/>
      <c r="E144" s="9"/>
      <c r="F144" s="9"/>
      <c r="G144" s="9">
        <v>418</v>
      </c>
      <c r="H144" s="9">
        <v>396</v>
      </c>
      <c r="I144" s="9"/>
      <c r="J144" s="9"/>
    </row>
    <row r="145" spans="1:10" x14ac:dyDescent="0.25">
      <c r="A145" s="9" t="s">
        <v>593</v>
      </c>
      <c r="B145" s="9">
        <v>1</v>
      </c>
      <c r="C145" s="9">
        <v>11</v>
      </c>
      <c r="D145" s="9" t="s">
        <v>89</v>
      </c>
      <c r="E145" s="9" t="s">
        <v>90</v>
      </c>
      <c r="F145" s="9">
        <v>1</v>
      </c>
      <c r="G145" s="9">
        <v>1</v>
      </c>
      <c r="H145" s="9">
        <v>1</v>
      </c>
      <c r="I145" s="9" t="s">
        <v>594</v>
      </c>
      <c r="J145" s="9" t="s">
        <v>595</v>
      </c>
    </row>
    <row r="146" spans="1:10" x14ac:dyDescent="0.25">
      <c r="A146" s="9" t="s">
        <v>593</v>
      </c>
      <c r="B146" s="9">
        <v>2</v>
      </c>
      <c r="C146" s="9">
        <v>11</v>
      </c>
      <c r="D146" s="9" t="s">
        <v>39</v>
      </c>
      <c r="E146" s="9" t="s">
        <v>40</v>
      </c>
      <c r="F146" s="9">
        <v>1</v>
      </c>
      <c r="G146" s="9">
        <v>2</v>
      </c>
      <c r="H146" s="9">
        <v>2</v>
      </c>
      <c r="I146" s="9" t="s">
        <v>1095</v>
      </c>
      <c r="J146" s="9" t="s">
        <v>596</v>
      </c>
    </row>
    <row r="147" spans="1:10" x14ac:dyDescent="0.25">
      <c r="A147" s="9" t="s">
        <v>593</v>
      </c>
      <c r="B147" s="9">
        <v>3</v>
      </c>
      <c r="C147" s="9">
        <v>12</v>
      </c>
      <c r="D147" s="9" t="s">
        <v>93</v>
      </c>
      <c r="E147" s="9" t="s">
        <v>100</v>
      </c>
      <c r="F147" s="9">
        <v>1</v>
      </c>
      <c r="G147" s="9">
        <v>2</v>
      </c>
      <c r="H147" s="9">
        <v>2</v>
      </c>
      <c r="I147" s="9" t="s">
        <v>597</v>
      </c>
      <c r="J147" s="9" t="s">
        <v>598</v>
      </c>
    </row>
    <row r="148" spans="1:10" x14ac:dyDescent="0.25">
      <c r="A148" s="9" t="s">
        <v>593</v>
      </c>
      <c r="B148" s="9">
        <v>4</v>
      </c>
      <c r="C148" s="9">
        <v>12</v>
      </c>
      <c r="D148" s="9" t="s">
        <v>93</v>
      </c>
      <c r="E148" s="9" t="s">
        <v>94</v>
      </c>
      <c r="F148" s="9">
        <v>1</v>
      </c>
      <c r="G148" s="9">
        <v>1</v>
      </c>
      <c r="H148" s="9">
        <v>1</v>
      </c>
      <c r="I148" s="9" t="s">
        <v>599</v>
      </c>
      <c r="J148" s="9" t="s">
        <v>600</v>
      </c>
    </row>
    <row r="149" spans="1:10" x14ac:dyDescent="0.25">
      <c r="A149" s="9" t="s">
        <v>593</v>
      </c>
      <c r="B149" s="9">
        <v>5</v>
      </c>
      <c r="C149" s="9">
        <v>11</v>
      </c>
      <c r="D149" s="9" t="s">
        <v>91</v>
      </c>
      <c r="E149" s="9" t="s">
        <v>92</v>
      </c>
      <c r="F149" s="9">
        <v>1</v>
      </c>
      <c r="G149" s="9">
        <v>1</v>
      </c>
      <c r="H149" s="9">
        <v>1</v>
      </c>
      <c r="I149" s="9" t="s">
        <v>601</v>
      </c>
      <c r="J149" s="9" t="s">
        <v>602</v>
      </c>
    </row>
    <row r="150" spans="1:10" x14ac:dyDescent="0.25">
      <c r="A150" s="9" t="s">
        <v>593</v>
      </c>
      <c r="B150" s="9">
        <v>6</v>
      </c>
      <c r="C150" s="9">
        <v>11</v>
      </c>
      <c r="D150" s="9" t="s">
        <v>29</v>
      </c>
      <c r="E150" s="9" t="s">
        <v>103</v>
      </c>
      <c r="F150" s="9">
        <v>1</v>
      </c>
      <c r="G150" s="9">
        <v>2</v>
      </c>
      <c r="H150" s="9">
        <v>2</v>
      </c>
      <c r="I150" s="9" t="s">
        <v>597</v>
      </c>
      <c r="J150" s="9" t="s">
        <v>603</v>
      </c>
    </row>
    <row r="151" spans="1:10" x14ac:dyDescent="0.25">
      <c r="A151" s="9" t="s">
        <v>593</v>
      </c>
      <c r="B151" s="9">
        <v>7</v>
      </c>
      <c r="C151" s="9">
        <v>11</v>
      </c>
      <c r="D151" s="9" t="s">
        <v>29</v>
      </c>
      <c r="E151" s="9" t="s">
        <v>95</v>
      </c>
      <c r="F151" s="9">
        <v>1</v>
      </c>
      <c r="G151" s="9">
        <v>1</v>
      </c>
      <c r="H151" s="9">
        <v>1</v>
      </c>
      <c r="I151" s="9" t="s">
        <v>599</v>
      </c>
      <c r="J151" s="9" t="s">
        <v>604</v>
      </c>
    </row>
    <row r="152" spans="1:10" x14ac:dyDescent="0.25">
      <c r="A152" s="9" t="s">
        <v>593</v>
      </c>
      <c r="B152" s="9">
        <v>8</v>
      </c>
      <c r="C152" s="9">
        <v>11</v>
      </c>
      <c r="D152" s="9" t="s">
        <v>605</v>
      </c>
      <c r="E152" s="9" t="s">
        <v>606</v>
      </c>
      <c r="F152" s="9">
        <v>1</v>
      </c>
      <c r="G152" s="9">
        <v>2</v>
      </c>
      <c r="H152" s="9">
        <v>2</v>
      </c>
      <c r="I152" s="9" t="s">
        <v>597</v>
      </c>
      <c r="J152" s="9" t="s">
        <v>607</v>
      </c>
    </row>
    <row r="153" spans="1:10" x14ac:dyDescent="0.25">
      <c r="A153" s="9" t="s">
        <v>593</v>
      </c>
      <c r="B153" s="9">
        <v>9</v>
      </c>
      <c r="C153" s="9">
        <v>11</v>
      </c>
      <c r="D153" s="9" t="s">
        <v>605</v>
      </c>
      <c r="E153" s="9" t="s">
        <v>608</v>
      </c>
      <c r="F153" s="9">
        <v>1</v>
      </c>
      <c r="G153" s="9">
        <v>1</v>
      </c>
      <c r="H153" s="9">
        <v>1</v>
      </c>
      <c r="I153" s="9" t="s">
        <v>599</v>
      </c>
      <c r="J153" s="9" t="s">
        <v>609</v>
      </c>
    </row>
    <row r="154" spans="1:10" x14ac:dyDescent="0.25">
      <c r="A154" s="9" t="s">
        <v>593</v>
      </c>
      <c r="B154" s="9">
        <v>10</v>
      </c>
      <c r="C154" s="9">
        <v>11</v>
      </c>
      <c r="D154" s="9" t="s">
        <v>605</v>
      </c>
      <c r="E154" s="9" t="s">
        <v>610</v>
      </c>
      <c r="F154" s="9">
        <v>1</v>
      </c>
      <c r="G154" s="9">
        <v>2</v>
      </c>
      <c r="H154" s="9">
        <v>2</v>
      </c>
      <c r="I154" s="9" t="s">
        <v>597</v>
      </c>
      <c r="J154" s="9" t="s">
        <v>611</v>
      </c>
    </row>
    <row r="155" spans="1:10" x14ac:dyDescent="0.25">
      <c r="A155" s="9" t="s">
        <v>593</v>
      </c>
      <c r="B155" s="9">
        <v>11</v>
      </c>
      <c r="C155" s="9">
        <v>11</v>
      </c>
      <c r="D155" s="9" t="s">
        <v>605</v>
      </c>
      <c r="E155" s="9" t="s">
        <v>612</v>
      </c>
      <c r="F155" s="9">
        <v>1</v>
      </c>
      <c r="G155" s="9">
        <v>2</v>
      </c>
      <c r="H155" s="9">
        <v>2</v>
      </c>
      <c r="I155" s="9" t="s">
        <v>597</v>
      </c>
      <c r="J155" s="9" t="s">
        <v>613</v>
      </c>
    </row>
    <row r="156" spans="1:10" x14ac:dyDescent="0.25">
      <c r="A156" s="9" t="s">
        <v>593</v>
      </c>
      <c r="B156" s="9">
        <v>12</v>
      </c>
      <c r="C156" s="9">
        <v>11</v>
      </c>
      <c r="D156" s="9" t="s">
        <v>605</v>
      </c>
      <c r="E156" s="9" t="s">
        <v>614</v>
      </c>
      <c r="F156" s="9">
        <v>1</v>
      </c>
      <c r="G156" s="9">
        <v>2</v>
      </c>
      <c r="H156" s="9">
        <v>2</v>
      </c>
      <c r="I156" s="9" t="s">
        <v>597</v>
      </c>
      <c r="J156" s="9" t="s">
        <v>615</v>
      </c>
    </row>
    <row r="157" spans="1:10" x14ac:dyDescent="0.25">
      <c r="A157" s="9" t="s">
        <v>593</v>
      </c>
      <c r="B157" s="9">
        <v>13</v>
      </c>
      <c r="C157" s="9">
        <v>11</v>
      </c>
      <c r="D157" s="9" t="s">
        <v>605</v>
      </c>
      <c r="E157" s="9" t="s">
        <v>616</v>
      </c>
      <c r="F157" s="9">
        <v>1</v>
      </c>
      <c r="G157" s="9">
        <v>1</v>
      </c>
      <c r="H157" s="9">
        <v>1</v>
      </c>
      <c r="I157" s="9" t="s">
        <v>599</v>
      </c>
      <c r="J157" s="9" t="s">
        <v>617</v>
      </c>
    </row>
    <row r="158" spans="1:10" x14ac:dyDescent="0.25">
      <c r="A158" s="9" t="s">
        <v>593</v>
      </c>
      <c r="B158" s="9">
        <v>14</v>
      </c>
      <c r="C158" s="9">
        <v>11</v>
      </c>
      <c r="D158" s="9" t="s">
        <v>605</v>
      </c>
      <c r="E158" s="9" t="s">
        <v>618</v>
      </c>
      <c r="F158" s="9">
        <v>1</v>
      </c>
      <c r="G158" s="9">
        <v>1</v>
      </c>
      <c r="H158" s="9">
        <v>1</v>
      </c>
      <c r="I158" s="9" t="s">
        <v>599</v>
      </c>
      <c r="J158" s="9" t="s">
        <v>619</v>
      </c>
    </row>
    <row r="159" spans="1:10" x14ac:dyDescent="0.25">
      <c r="A159" s="9" t="s">
        <v>593</v>
      </c>
      <c r="B159" s="9">
        <v>15</v>
      </c>
      <c r="C159" s="9">
        <v>11</v>
      </c>
      <c r="D159" s="9" t="s">
        <v>605</v>
      </c>
      <c r="E159" s="9" t="s">
        <v>620</v>
      </c>
      <c r="F159" s="9">
        <v>1</v>
      </c>
      <c r="G159" s="9">
        <v>1</v>
      </c>
      <c r="H159" s="9">
        <v>1</v>
      </c>
      <c r="I159" s="9" t="s">
        <v>599</v>
      </c>
      <c r="J159" s="9" t="s">
        <v>621</v>
      </c>
    </row>
    <row r="160" spans="1:10" x14ac:dyDescent="0.25">
      <c r="A160" s="9" t="s">
        <v>593</v>
      </c>
      <c r="B160" s="9">
        <v>16</v>
      </c>
      <c r="C160" s="9">
        <v>11</v>
      </c>
      <c r="D160" s="9" t="s">
        <v>605</v>
      </c>
      <c r="E160" s="9" t="s">
        <v>622</v>
      </c>
      <c r="F160" s="9">
        <v>1</v>
      </c>
      <c r="G160" s="9">
        <v>4</v>
      </c>
      <c r="H160" s="9">
        <v>4</v>
      </c>
      <c r="I160" s="9" t="s">
        <v>597</v>
      </c>
      <c r="J160" s="9" t="s">
        <v>623</v>
      </c>
    </row>
    <row r="161" spans="1:10" x14ac:dyDescent="0.25">
      <c r="A161" s="9" t="s">
        <v>593</v>
      </c>
      <c r="B161" s="9">
        <v>17</v>
      </c>
      <c r="C161" s="9">
        <v>11</v>
      </c>
      <c r="D161" s="9" t="s">
        <v>605</v>
      </c>
      <c r="E161" s="9" t="s">
        <v>624</v>
      </c>
      <c r="F161" s="9">
        <v>1</v>
      </c>
      <c r="G161" s="9">
        <v>2</v>
      </c>
      <c r="H161" s="9">
        <v>2</v>
      </c>
      <c r="I161" s="9" t="s">
        <v>599</v>
      </c>
      <c r="J161" s="9" t="s">
        <v>625</v>
      </c>
    </row>
    <row r="162" spans="1:10" x14ac:dyDescent="0.25">
      <c r="A162" s="9" t="s">
        <v>593</v>
      </c>
      <c r="B162" s="9">
        <v>18</v>
      </c>
      <c r="C162" s="9">
        <v>11</v>
      </c>
      <c r="D162" s="9" t="s">
        <v>24</v>
      </c>
      <c r="E162" s="9" t="s">
        <v>25</v>
      </c>
      <c r="F162" s="9">
        <v>1</v>
      </c>
      <c r="G162" s="9">
        <v>1</v>
      </c>
      <c r="H162" s="9">
        <v>1</v>
      </c>
      <c r="I162" s="9" t="s">
        <v>599</v>
      </c>
      <c r="J162" s="9" t="s">
        <v>626</v>
      </c>
    </row>
    <row r="163" spans="1:10" x14ac:dyDescent="0.25">
      <c r="A163" s="9" t="s">
        <v>593</v>
      </c>
      <c r="B163" s="9">
        <v>19</v>
      </c>
      <c r="C163" s="9">
        <v>11</v>
      </c>
      <c r="D163" s="9" t="s">
        <v>24</v>
      </c>
      <c r="E163" s="9" t="s">
        <v>34</v>
      </c>
      <c r="F163" s="9">
        <v>1</v>
      </c>
      <c r="G163" s="9">
        <v>2</v>
      </c>
      <c r="H163" s="9">
        <v>2</v>
      </c>
      <c r="I163" s="9" t="s">
        <v>627</v>
      </c>
      <c r="J163" s="9" t="s">
        <v>628</v>
      </c>
    </row>
    <row r="164" spans="1:10" x14ac:dyDescent="0.25">
      <c r="A164" s="9" t="s">
        <v>593</v>
      </c>
      <c r="B164" s="9">
        <v>20</v>
      </c>
      <c r="C164" s="9">
        <v>11</v>
      </c>
      <c r="D164" s="9" t="s">
        <v>24</v>
      </c>
      <c r="E164" s="9" t="s">
        <v>50</v>
      </c>
      <c r="F164" s="9">
        <v>1</v>
      </c>
      <c r="G164" s="9">
        <v>4</v>
      </c>
      <c r="H164" s="9">
        <v>4</v>
      </c>
      <c r="I164" s="9" t="s">
        <v>629</v>
      </c>
      <c r="J164" s="9" t="s">
        <v>630</v>
      </c>
    </row>
    <row r="165" spans="1:10" x14ac:dyDescent="0.25">
      <c r="A165" s="9" t="s">
        <v>593</v>
      </c>
      <c r="B165" s="9">
        <v>21</v>
      </c>
      <c r="C165" s="9">
        <v>11</v>
      </c>
      <c r="D165" s="9" t="s">
        <v>29</v>
      </c>
      <c r="E165" s="9" t="s">
        <v>631</v>
      </c>
      <c r="F165" s="9">
        <v>1</v>
      </c>
      <c r="G165" s="9">
        <v>4</v>
      </c>
      <c r="H165" s="9">
        <v>4</v>
      </c>
      <c r="I165" s="9" t="s">
        <v>629</v>
      </c>
      <c r="J165" s="9" t="s">
        <v>632</v>
      </c>
    </row>
    <row r="166" spans="1:10" x14ac:dyDescent="0.25">
      <c r="A166" s="9" t="s">
        <v>593</v>
      </c>
      <c r="B166" s="9">
        <v>22</v>
      </c>
      <c r="C166" s="9">
        <v>11</v>
      </c>
      <c r="D166" s="9" t="s">
        <v>29</v>
      </c>
      <c r="E166" s="9" t="s">
        <v>633</v>
      </c>
      <c r="F166" s="9">
        <v>1</v>
      </c>
      <c r="G166" s="9">
        <v>4</v>
      </c>
      <c r="H166" s="9">
        <v>4</v>
      </c>
      <c r="I166" s="9" t="s">
        <v>629</v>
      </c>
      <c r="J166" s="9" t="s">
        <v>634</v>
      </c>
    </row>
    <row r="167" spans="1:10" ht="30" x14ac:dyDescent="0.25">
      <c r="A167" s="9" t="s">
        <v>593</v>
      </c>
      <c r="B167" s="9">
        <v>23</v>
      </c>
      <c r="C167" s="9">
        <v>11</v>
      </c>
      <c r="D167" s="9" t="s">
        <v>29</v>
      </c>
      <c r="E167" s="9" t="s">
        <v>30</v>
      </c>
      <c r="F167" s="9">
        <v>1</v>
      </c>
      <c r="G167" s="9">
        <v>2</v>
      </c>
      <c r="H167" s="9">
        <v>2</v>
      </c>
      <c r="I167" s="9" t="s">
        <v>635</v>
      </c>
      <c r="J167" s="9" t="s">
        <v>636</v>
      </c>
    </row>
    <row r="168" spans="1:10" ht="30" x14ac:dyDescent="0.25">
      <c r="A168" s="9" t="s">
        <v>593</v>
      </c>
      <c r="B168" s="9">
        <v>24</v>
      </c>
      <c r="C168" s="9">
        <v>11</v>
      </c>
      <c r="D168" s="9" t="s">
        <v>29</v>
      </c>
      <c r="E168" s="9" t="s">
        <v>97</v>
      </c>
      <c r="F168" s="9">
        <v>1</v>
      </c>
      <c r="G168" s="9">
        <v>2</v>
      </c>
      <c r="H168" s="9">
        <v>2</v>
      </c>
      <c r="I168" s="9" t="s">
        <v>627</v>
      </c>
      <c r="J168" s="9" t="s">
        <v>637</v>
      </c>
    </row>
    <row r="169" spans="1:10" x14ac:dyDescent="0.25">
      <c r="A169" s="9" t="s">
        <v>593</v>
      </c>
      <c r="B169" s="9">
        <v>25</v>
      </c>
      <c r="C169" s="9">
        <v>11</v>
      </c>
      <c r="D169" s="9" t="s">
        <v>27</v>
      </c>
      <c r="E169" s="9" t="s">
        <v>638</v>
      </c>
      <c r="F169" s="9">
        <v>1</v>
      </c>
      <c r="G169" s="9">
        <v>2</v>
      </c>
      <c r="H169" s="9">
        <v>2</v>
      </c>
      <c r="I169" s="9" t="s">
        <v>639</v>
      </c>
      <c r="J169" s="9" t="s">
        <v>640</v>
      </c>
    </row>
    <row r="170" spans="1:10" x14ac:dyDescent="0.25">
      <c r="A170" s="9" t="s">
        <v>593</v>
      </c>
      <c r="B170" s="9">
        <v>26</v>
      </c>
      <c r="C170" s="9">
        <v>11</v>
      </c>
      <c r="D170" s="9" t="s">
        <v>27</v>
      </c>
      <c r="E170" s="9" t="s">
        <v>641</v>
      </c>
      <c r="F170" s="9">
        <v>1</v>
      </c>
      <c r="G170" s="9">
        <v>2</v>
      </c>
      <c r="H170" s="9">
        <v>2</v>
      </c>
      <c r="I170" s="9" t="s">
        <v>639</v>
      </c>
      <c r="J170" s="9" t="s">
        <v>642</v>
      </c>
    </row>
    <row r="171" spans="1:10" x14ac:dyDescent="0.25">
      <c r="A171" s="9" t="s">
        <v>593</v>
      </c>
      <c r="B171" s="9">
        <v>27</v>
      </c>
      <c r="C171" s="9">
        <v>11</v>
      </c>
      <c r="D171" s="9" t="s">
        <v>27</v>
      </c>
      <c r="E171" s="9" t="s">
        <v>643</v>
      </c>
      <c r="F171" s="9">
        <v>1</v>
      </c>
      <c r="G171" s="9">
        <v>2</v>
      </c>
      <c r="H171" s="9">
        <v>2</v>
      </c>
      <c r="I171" s="9" t="s">
        <v>639</v>
      </c>
      <c r="J171" s="9" t="s">
        <v>644</v>
      </c>
    </row>
    <row r="172" spans="1:10" x14ac:dyDescent="0.25">
      <c r="A172" s="9" t="s">
        <v>593</v>
      </c>
      <c r="B172" s="9">
        <v>28</v>
      </c>
      <c r="C172" s="9">
        <v>11</v>
      </c>
      <c r="D172" s="9" t="s">
        <v>27</v>
      </c>
      <c r="E172" s="9" t="s">
        <v>645</v>
      </c>
      <c r="F172" s="9">
        <v>1</v>
      </c>
      <c r="G172" s="9">
        <v>1</v>
      </c>
      <c r="H172" s="9">
        <v>1</v>
      </c>
      <c r="I172" s="9" t="s">
        <v>646</v>
      </c>
      <c r="J172" s="9" t="s">
        <v>647</v>
      </c>
    </row>
    <row r="173" spans="1:10" x14ac:dyDescent="0.25">
      <c r="A173" s="9" t="s">
        <v>593</v>
      </c>
      <c r="B173" s="9">
        <v>29</v>
      </c>
      <c r="C173" s="9">
        <v>11</v>
      </c>
      <c r="D173" s="9" t="s">
        <v>27</v>
      </c>
      <c r="E173" s="9" t="s">
        <v>648</v>
      </c>
      <c r="F173" s="9">
        <v>1</v>
      </c>
      <c r="G173" s="9">
        <v>1</v>
      </c>
      <c r="H173" s="9">
        <v>1</v>
      </c>
      <c r="I173" s="9" t="s">
        <v>646</v>
      </c>
      <c r="J173" s="9" t="s">
        <v>649</v>
      </c>
    </row>
    <row r="174" spans="1:10" x14ac:dyDescent="0.25">
      <c r="A174" s="9" t="s">
        <v>593</v>
      </c>
      <c r="B174" s="9">
        <v>30</v>
      </c>
      <c r="C174" s="9">
        <v>11</v>
      </c>
      <c r="D174" s="9" t="s">
        <v>27</v>
      </c>
      <c r="E174" s="9" t="s">
        <v>650</v>
      </c>
      <c r="F174" s="9">
        <v>1</v>
      </c>
      <c r="G174" s="9">
        <v>1</v>
      </c>
      <c r="H174" s="9">
        <v>1</v>
      </c>
      <c r="I174" s="9" t="s">
        <v>646</v>
      </c>
      <c r="J174" s="9" t="s">
        <v>651</v>
      </c>
    </row>
    <row r="175" spans="1:10" x14ac:dyDescent="0.25">
      <c r="A175" s="9" t="s">
        <v>593</v>
      </c>
      <c r="B175" s="9">
        <v>31</v>
      </c>
      <c r="C175" s="9">
        <v>11</v>
      </c>
      <c r="D175" s="9" t="s">
        <v>27</v>
      </c>
      <c r="E175" s="9" t="s">
        <v>28</v>
      </c>
      <c r="F175" s="9">
        <v>1</v>
      </c>
      <c r="G175" s="9">
        <v>3</v>
      </c>
      <c r="H175" s="9">
        <v>3</v>
      </c>
      <c r="I175" s="9" t="s">
        <v>652</v>
      </c>
      <c r="J175" s="9" t="s">
        <v>653</v>
      </c>
    </row>
    <row r="176" spans="1:10" x14ac:dyDescent="0.25">
      <c r="A176" s="9" t="s">
        <v>593</v>
      </c>
      <c r="B176" s="9">
        <v>32</v>
      </c>
      <c r="C176" s="9">
        <v>11</v>
      </c>
      <c r="D176" s="9" t="s">
        <v>96</v>
      </c>
      <c r="E176" s="9" t="s">
        <v>101</v>
      </c>
      <c r="F176" s="9">
        <v>1</v>
      </c>
      <c r="G176" s="9">
        <v>2</v>
      </c>
      <c r="H176" s="9">
        <v>2</v>
      </c>
      <c r="I176" s="9" t="s">
        <v>635</v>
      </c>
      <c r="J176" s="9" t="s">
        <v>654</v>
      </c>
    </row>
    <row r="177" spans="1:10" x14ac:dyDescent="0.25">
      <c r="A177" s="9" t="s">
        <v>593</v>
      </c>
      <c r="B177" s="9">
        <v>33</v>
      </c>
      <c r="C177" s="9">
        <v>11</v>
      </c>
      <c r="D177" s="9" t="s">
        <v>96</v>
      </c>
      <c r="E177" s="9" t="s">
        <v>655</v>
      </c>
      <c r="F177" s="9">
        <v>1</v>
      </c>
      <c r="G177" s="9">
        <v>2</v>
      </c>
      <c r="H177" s="9">
        <v>2</v>
      </c>
      <c r="I177" s="9" t="s">
        <v>635</v>
      </c>
      <c r="J177" s="9"/>
    </row>
    <row r="178" spans="1:10" x14ac:dyDescent="0.25">
      <c r="A178" s="9" t="s">
        <v>593</v>
      </c>
      <c r="B178" s="9">
        <v>34</v>
      </c>
      <c r="C178" s="9">
        <v>11</v>
      </c>
      <c r="D178" s="9" t="s">
        <v>96</v>
      </c>
      <c r="E178" s="9" t="s">
        <v>656</v>
      </c>
      <c r="F178" s="9">
        <v>1</v>
      </c>
      <c r="G178" s="9">
        <v>2</v>
      </c>
      <c r="H178" s="9">
        <v>2</v>
      </c>
      <c r="I178" s="9" t="s">
        <v>635</v>
      </c>
      <c r="J178" s="9"/>
    </row>
    <row r="179" spans="1:10" x14ac:dyDescent="0.25">
      <c r="A179" s="9" t="s">
        <v>593</v>
      </c>
      <c r="B179" s="9">
        <v>35</v>
      </c>
      <c r="C179" s="9">
        <v>11</v>
      </c>
      <c r="D179" s="9" t="s">
        <v>96</v>
      </c>
      <c r="E179" s="9" t="s">
        <v>657</v>
      </c>
      <c r="F179" s="9">
        <v>1</v>
      </c>
      <c r="G179" s="9">
        <v>2</v>
      </c>
      <c r="H179" s="9">
        <v>2</v>
      </c>
      <c r="I179" s="9" t="s">
        <v>635</v>
      </c>
      <c r="J179" s="9"/>
    </row>
    <row r="180" spans="1:10" x14ac:dyDescent="0.25">
      <c r="A180" s="9" t="s">
        <v>593</v>
      </c>
      <c r="B180" s="9">
        <v>36</v>
      </c>
      <c r="C180" s="9">
        <v>11</v>
      </c>
      <c r="D180" s="9" t="s">
        <v>96</v>
      </c>
      <c r="E180" s="9" t="s">
        <v>658</v>
      </c>
      <c r="F180" s="9">
        <v>1</v>
      </c>
      <c r="G180" s="9">
        <v>1</v>
      </c>
      <c r="H180" s="9">
        <v>1</v>
      </c>
      <c r="I180" s="9" t="s">
        <v>635</v>
      </c>
      <c r="J180" s="9" t="s">
        <v>659</v>
      </c>
    </row>
    <row r="181" spans="1:10" x14ac:dyDescent="0.25">
      <c r="A181" s="9" t="s">
        <v>593</v>
      </c>
      <c r="B181" s="9">
        <v>37</v>
      </c>
      <c r="C181" s="9">
        <v>11</v>
      </c>
      <c r="D181" s="9" t="s">
        <v>96</v>
      </c>
      <c r="E181" s="9" t="s">
        <v>102</v>
      </c>
      <c r="F181" s="9">
        <v>1</v>
      </c>
      <c r="G181" s="9">
        <v>6</v>
      </c>
      <c r="H181" s="9">
        <v>6</v>
      </c>
      <c r="I181" s="9" t="s">
        <v>627</v>
      </c>
      <c r="J181" s="9" t="s">
        <v>660</v>
      </c>
    </row>
    <row r="182" spans="1:10" x14ac:dyDescent="0.25">
      <c r="A182" s="9" t="s">
        <v>593</v>
      </c>
      <c r="B182" s="9">
        <v>38</v>
      </c>
      <c r="C182" s="9">
        <v>11</v>
      </c>
      <c r="D182" s="9" t="s">
        <v>45</v>
      </c>
      <c r="E182" s="9" t="s">
        <v>46</v>
      </c>
      <c r="F182" s="9">
        <v>1</v>
      </c>
      <c r="G182" s="9">
        <v>2</v>
      </c>
      <c r="H182" s="9">
        <v>2</v>
      </c>
      <c r="I182" s="9" t="s">
        <v>635</v>
      </c>
      <c r="J182" s="9" t="s">
        <v>661</v>
      </c>
    </row>
    <row r="183" spans="1:10" x14ac:dyDescent="0.25">
      <c r="A183" s="9" t="s">
        <v>593</v>
      </c>
      <c r="B183" s="9">
        <v>39</v>
      </c>
      <c r="C183" s="9">
        <v>12</v>
      </c>
      <c r="D183" s="9" t="s">
        <v>5</v>
      </c>
      <c r="E183" s="9" t="s">
        <v>19</v>
      </c>
      <c r="F183" s="9">
        <v>1</v>
      </c>
      <c r="G183" s="9">
        <v>1</v>
      </c>
      <c r="H183" s="9">
        <v>0</v>
      </c>
      <c r="I183" s="9" t="s">
        <v>594</v>
      </c>
      <c r="J183" s="9" t="s">
        <v>662</v>
      </c>
    </row>
    <row r="184" spans="1:10" x14ac:dyDescent="0.25">
      <c r="A184" s="9" t="s">
        <v>593</v>
      </c>
      <c r="B184" s="9">
        <v>40</v>
      </c>
      <c r="C184" s="9">
        <v>12</v>
      </c>
      <c r="D184" s="9" t="s">
        <v>5</v>
      </c>
      <c r="E184" s="9" t="s">
        <v>440</v>
      </c>
      <c r="F184" s="9">
        <v>1</v>
      </c>
      <c r="G184" s="9">
        <v>1</v>
      </c>
      <c r="H184" s="9">
        <v>0</v>
      </c>
      <c r="I184" s="9" t="s">
        <v>594</v>
      </c>
      <c r="J184" s="9" t="s">
        <v>663</v>
      </c>
    </row>
    <row r="185" spans="1:10" x14ac:dyDescent="0.25">
      <c r="A185" s="9" t="s">
        <v>593</v>
      </c>
      <c r="B185" s="9">
        <v>41</v>
      </c>
      <c r="C185" s="9">
        <v>12</v>
      </c>
      <c r="D185" s="9" t="s">
        <v>5</v>
      </c>
      <c r="E185" s="9" t="s">
        <v>21</v>
      </c>
      <c r="F185" s="9">
        <v>1</v>
      </c>
      <c r="G185" s="9">
        <v>1</v>
      </c>
      <c r="H185" s="9">
        <v>0</v>
      </c>
      <c r="I185" s="9" t="s">
        <v>594</v>
      </c>
      <c r="J185" s="9" t="s">
        <v>664</v>
      </c>
    </row>
    <row r="186" spans="1:10" x14ac:dyDescent="0.25">
      <c r="A186" s="9" t="s">
        <v>593</v>
      </c>
      <c r="B186" s="9">
        <v>42</v>
      </c>
      <c r="C186" s="9">
        <v>12</v>
      </c>
      <c r="D186" s="9" t="s">
        <v>5</v>
      </c>
      <c r="E186" s="9" t="s">
        <v>31</v>
      </c>
      <c r="F186" s="9">
        <v>1</v>
      </c>
      <c r="G186" s="9">
        <v>6</v>
      </c>
      <c r="H186" s="9">
        <v>0</v>
      </c>
      <c r="I186" s="9" t="s">
        <v>627</v>
      </c>
      <c r="J186" s="9" t="s">
        <v>665</v>
      </c>
    </row>
    <row r="187" spans="1:10" x14ac:dyDescent="0.25">
      <c r="A187" s="9" t="s">
        <v>593</v>
      </c>
      <c r="B187" s="9">
        <v>43</v>
      </c>
      <c r="C187" s="9">
        <v>12</v>
      </c>
      <c r="D187" s="9" t="s">
        <v>5</v>
      </c>
      <c r="E187" s="9" t="s">
        <v>22</v>
      </c>
      <c r="F187" s="9">
        <v>1</v>
      </c>
      <c r="G187" s="9">
        <v>7</v>
      </c>
      <c r="H187" s="9">
        <v>0</v>
      </c>
      <c r="I187" s="9" t="s">
        <v>666</v>
      </c>
      <c r="J187" s="9" t="s">
        <v>667</v>
      </c>
    </row>
    <row r="188" spans="1:10" x14ac:dyDescent="0.25">
      <c r="A188" s="9" t="s">
        <v>593</v>
      </c>
      <c r="B188" s="9">
        <v>44</v>
      </c>
      <c r="C188" s="9">
        <v>41</v>
      </c>
      <c r="D188" s="9" t="s">
        <v>98</v>
      </c>
      <c r="E188" s="9" t="s">
        <v>668</v>
      </c>
      <c r="F188" s="9">
        <v>1</v>
      </c>
      <c r="G188" s="9">
        <v>2</v>
      </c>
      <c r="H188" s="9">
        <v>0</v>
      </c>
      <c r="I188" s="9"/>
      <c r="J188" s="9" t="s">
        <v>669</v>
      </c>
    </row>
    <row r="189" spans="1:10" x14ac:dyDescent="0.25">
      <c r="A189" s="9" t="s">
        <v>593</v>
      </c>
      <c r="B189" s="9">
        <v>45</v>
      </c>
      <c r="C189" s="9">
        <v>11</v>
      </c>
      <c r="D189" s="9" t="s">
        <v>99</v>
      </c>
      <c r="E189" s="9" t="s">
        <v>670</v>
      </c>
      <c r="F189" s="9">
        <v>1</v>
      </c>
      <c r="G189" s="9">
        <v>2</v>
      </c>
      <c r="H189" s="9">
        <v>2</v>
      </c>
      <c r="I189" s="9"/>
      <c r="J189" s="9" t="s">
        <v>671</v>
      </c>
    </row>
    <row r="190" spans="1:10" x14ac:dyDescent="0.25">
      <c r="A190" s="9" t="s">
        <v>593</v>
      </c>
      <c r="B190" s="9">
        <v>46</v>
      </c>
      <c r="C190" s="9">
        <v>11</v>
      </c>
      <c r="D190" s="9" t="s">
        <v>99</v>
      </c>
      <c r="E190" s="9" t="s">
        <v>672</v>
      </c>
      <c r="F190" s="9">
        <v>1</v>
      </c>
      <c r="G190" s="9">
        <v>2</v>
      </c>
      <c r="H190" s="9">
        <v>2</v>
      </c>
      <c r="I190" s="9"/>
      <c r="J190" s="9" t="s">
        <v>671</v>
      </c>
    </row>
    <row r="191" spans="1:10" x14ac:dyDescent="0.25">
      <c r="A191" s="9" t="s">
        <v>593</v>
      </c>
      <c r="B191" s="9">
        <v>47</v>
      </c>
      <c r="C191" s="9">
        <v>11</v>
      </c>
      <c r="D191" s="9"/>
      <c r="E191" s="9" t="s">
        <v>673</v>
      </c>
      <c r="F191" s="9">
        <v>1</v>
      </c>
      <c r="G191" s="9">
        <v>300</v>
      </c>
      <c r="H191" s="9">
        <v>300</v>
      </c>
      <c r="I191" s="9"/>
      <c r="J191" s="9" t="s">
        <v>674</v>
      </c>
    </row>
    <row r="192" spans="1:10" x14ac:dyDescent="0.25">
      <c r="A192" s="9" t="s">
        <v>593</v>
      </c>
      <c r="B192" s="9">
        <v>48</v>
      </c>
      <c r="C192" s="9">
        <v>11</v>
      </c>
      <c r="D192" s="9"/>
      <c r="E192" s="9"/>
      <c r="F192" s="9">
        <v>1</v>
      </c>
      <c r="G192" s="9"/>
      <c r="H192" s="9"/>
      <c r="I192" s="9"/>
      <c r="J192" s="9"/>
    </row>
    <row r="193" spans="1:10" x14ac:dyDescent="0.25">
      <c r="A193" s="9" t="s">
        <v>593</v>
      </c>
      <c r="B193" s="9">
        <v>49</v>
      </c>
      <c r="C193" s="9">
        <v>11</v>
      </c>
      <c r="D193" s="9"/>
      <c r="E193" s="9"/>
      <c r="F193" s="9">
        <v>1</v>
      </c>
      <c r="G193" s="9"/>
      <c r="H193" s="9"/>
      <c r="I193" s="9"/>
      <c r="J193" s="9"/>
    </row>
    <row r="194" spans="1:10" x14ac:dyDescent="0.25">
      <c r="A194" s="9" t="s">
        <v>593</v>
      </c>
      <c r="B194" s="9">
        <v>50</v>
      </c>
      <c r="C194" s="9">
        <v>11</v>
      </c>
      <c r="D194" s="9"/>
      <c r="E194" s="9"/>
      <c r="F194" s="9">
        <v>1</v>
      </c>
      <c r="G194" s="9"/>
      <c r="H194" s="9"/>
      <c r="I194" s="9"/>
      <c r="J194" s="9"/>
    </row>
    <row r="195" spans="1:10" x14ac:dyDescent="0.25">
      <c r="A195" s="9" t="s">
        <v>593</v>
      </c>
      <c r="B195" s="9">
        <v>50</v>
      </c>
      <c r="C195" s="9"/>
      <c r="D195" s="9"/>
      <c r="E195" s="9"/>
      <c r="F195" s="9"/>
      <c r="G195" s="9">
        <v>398</v>
      </c>
      <c r="H195" s="9">
        <v>380</v>
      </c>
      <c r="I195" s="9"/>
      <c r="J195" s="9"/>
    </row>
    <row r="196" spans="1:10" x14ac:dyDescent="0.25">
      <c r="A196" s="9" t="s">
        <v>675</v>
      </c>
      <c r="B196" s="9">
        <v>1</v>
      </c>
      <c r="C196" s="9">
        <v>10</v>
      </c>
      <c r="D196" s="9" t="s">
        <v>64</v>
      </c>
      <c r="E196" s="9" t="s">
        <v>676</v>
      </c>
      <c r="F196" s="9">
        <v>1</v>
      </c>
      <c r="G196" s="9">
        <v>1</v>
      </c>
      <c r="H196" s="9">
        <v>1</v>
      </c>
      <c r="I196" s="9" t="s">
        <v>677</v>
      </c>
      <c r="J196" s="9"/>
    </row>
    <row r="197" spans="1:10" x14ac:dyDescent="0.25">
      <c r="A197" s="9" t="s">
        <v>675</v>
      </c>
      <c r="B197" s="9">
        <v>2</v>
      </c>
      <c r="C197" s="9">
        <v>10</v>
      </c>
      <c r="D197" s="9" t="s">
        <v>678</v>
      </c>
      <c r="E197" s="9" t="s">
        <v>679</v>
      </c>
      <c r="F197" s="9">
        <v>1</v>
      </c>
      <c r="G197" s="9">
        <v>1</v>
      </c>
      <c r="H197" s="9">
        <v>1</v>
      </c>
      <c r="I197" s="9" t="s">
        <v>677</v>
      </c>
      <c r="J197" s="9" t="s">
        <v>680</v>
      </c>
    </row>
    <row r="198" spans="1:10" x14ac:dyDescent="0.25">
      <c r="A198" s="9" t="s">
        <v>675</v>
      </c>
      <c r="B198" s="9">
        <v>3</v>
      </c>
      <c r="C198" s="9">
        <v>10</v>
      </c>
      <c r="D198" s="9" t="s">
        <v>64</v>
      </c>
      <c r="E198" s="9" t="s">
        <v>681</v>
      </c>
      <c r="F198" s="9">
        <v>1</v>
      </c>
      <c r="G198" s="9">
        <v>2</v>
      </c>
      <c r="H198" s="9">
        <v>2</v>
      </c>
      <c r="I198" s="9" t="s">
        <v>682</v>
      </c>
      <c r="J198" s="9"/>
    </row>
    <row r="199" spans="1:10" x14ac:dyDescent="0.25">
      <c r="A199" s="9" t="s">
        <v>675</v>
      </c>
      <c r="B199" s="9">
        <v>4</v>
      </c>
      <c r="C199" s="9">
        <v>10</v>
      </c>
      <c r="D199" s="9" t="s">
        <v>64</v>
      </c>
      <c r="E199" s="9" t="s">
        <v>683</v>
      </c>
      <c r="F199" s="9">
        <v>1</v>
      </c>
      <c r="G199" s="9">
        <v>4</v>
      </c>
      <c r="H199" s="9">
        <v>4</v>
      </c>
      <c r="I199" s="9" t="s">
        <v>682</v>
      </c>
      <c r="J199" s="9" t="s">
        <v>684</v>
      </c>
    </row>
    <row r="200" spans="1:10" x14ac:dyDescent="0.25">
      <c r="A200" s="9" t="s">
        <v>675</v>
      </c>
      <c r="B200" s="9">
        <v>5</v>
      </c>
      <c r="C200" s="9">
        <v>10</v>
      </c>
      <c r="D200" s="9" t="s">
        <v>64</v>
      </c>
      <c r="E200" s="9" t="s">
        <v>685</v>
      </c>
      <c r="F200" s="9">
        <v>1</v>
      </c>
      <c r="G200" s="9">
        <v>6</v>
      </c>
      <c r="H200" s="9">
        <v>6</v>
      </c>
      <c r="I200" s="9" t="s">
        <v>682</v>
      </c>
      <c r="J200" s="9" t="s">
        <v>686</v>
      </c>
    </row>
    <row r="201" spans="1:10" x14ac:dyDescent="0.25">
      <c r="A201" s="9" t="s">
        <v>675</v>
      </c>
      <c r="B201" s="9">
        <v>6</v>
      </c>
      <c r="C201" s="9">
        <v>10</v>
      </c>
      <c r="D201" s="9" t="s">
        <v>64</v>
      </c>
      <c r="E201" s="9" t="s">
        <v>687</v>
      </c>
      <c r="F201" s="9">
        <v>1</v>
      </c>
      <c r="G201" s="9">
        <v>4</v>
      </c>
      <c r="H201" s="9">
        <v>4</v>
      </c>
      <c r="I201" s="9" t="s">
        <v>682</v>
      </c>
      <c r="J201" s="9" t="s">
        <v>688</v>
      </c>
    </row>
    <row r="202" spans="1:10" x14ac:dyDescent="0.25">
      <c r="A202" s="9" t="s">
        <v>675</v>
      </c>
      <c r="B202" s="9">
        <v>7</v>
      </c>
      <c r="C202" s="9">
        <v>10</v>
      </c>
      <c r="D202" s="9" t="s">
        <v>64</v>
      </c>
      <c r="E202" s="9" t="s">
        <v>689</v>
      </c>
      <c r="F202" s="9">
        <v>1</v>
      </c>
      <c r="G202" s="9">
        <v>2</v>
      </c>
      <c r="H202" s="9">
        <v>2</v>
      </c>
      <c r="I202" s="9" t="s">
        <v>682</v>
      </c>
      <c r="J202" s="9" t="s">
        <v>690</v>
      </c>
    </row>
    <row r="203" spans="1:10" x14ac:dyDescent="0.25">
      <c r="A203" s="9" t="s">
        <v>675</v>
      </c>
      <c r="B203" s="9">
        <v>8</v>
      </c>
      <c r="C203" s="9">
        <v>10</v>
      </c>
      <c r="D203" s="9" t="s">
        <v>64</v>
      </c>
      <c r="E203" s="9" t="s">
        <v>691</v>
      </c>
      <c r="F203" s="9">
        <v>1</v>
      </c>
      <c r="G203" s="9">
        <v>2</v>
      </c>
      <c r="H203" s="9">
        <v>2</v>
      </c>
      <c r="I203" s="9" t="s">
        <v>682</v>
      </c>
      <c r="J203" s="9" t="s">
        <v>692</v>
      </c>
    </row>
    <row r="204" spans="1:10" x14ac:dyDescent="0.25">
      <c r="A204" s="9" t="s">
        <v>675</v>
      </c>
      <c r="B204" s="9">
        <v>9</v>
      </c>
      <c r="C204" s="9">
        <v>10</v>
      </c>
      <c r="D204" s="9" t="s">
        <v>64</v>
      </c>
      <c r="E204" s="9" t="s">
        <v>693</v>
      </c>
      <c r="F204" s="9">
        <v>1</v>
      </c>
      <c r="G204" s="9">
        <v>7</v>
      </c>
      <c r="H204" s="9">
        <v>7</v>
      </c>
      <c r="I204" s="9" t="s">
        <v>694</v>
      </c>
      <c r="J204" s="9" t="s">
        <v>695</v>
      </c>
    </row>
    <row r="205" spans="1:10" x14ac:dyDescent="0.25">
      <c r="A205" s="9" t="s">
        <v>675</v>
      </c>
      <c r="B205" s="9">
        <v>10</v>
      </c>
      <c r="C205" s="9">
        <v>10</v>
      </c>
      <c r="D205" s="9" t="s">
        <v>64</v>
      </c>
      <c r="E205" s="9" t="s">
        <v>696</v>
      </c>
      <c r="F205" s="9">
        <v>1</v>
      </c>
      <c r="G205" s="9">
        <v>4</v>
      </c>
      <c r="H205" s="9">
        <v>4</v>
      </c>
      <c r="I205" s="9" t="s">
        <v>697</v>
      </c>
      <c r="J205" s="9" t="s">
        <v>698</v>
      </c>
    </row>
    <row r="206" spans="1:10" x14ac:dyDescent="0.25">
      <c r="A206" s="9" t="s">
        <v>675</v>
      </c>
      <c r="B206" s="9">
        <v>11</v>
      </c>
      <c r="C206" s="9">
        <v>10</v>
      </c>
      <c r="D206" s="9" t="s">
        <v>64</v>
      </c>
      <c r="E206" s="9" t="s">
        <v>699</v>
      </c>
      <c r="F206" s="9">
        <v>1</v>
      </c>
      <c r="G206" s="9">
        <v>8</v>
      </c>
      <c r="H206" s="9">
        <v>8</v>
      </c>
      <c r="I206" s="9" t="s">
        <v>697</v>
      </c>
      <c r="J206" s="9" t="s">
        <v>692</v>
      </c>
    </row>
    <row r="207" spans="1:10" x14ac:dyDescent="0.25">
      <c r="A207" s="9" t="s">
        <v>675</v>
      </c>
      <c r="B207" s="9">
        <v>12</v>
      </c>
      <c r="C207" s="9">
        <v>10</v>
      </c>
      <c r="D207" s="9" t="s">
        <v>64</v>
      </c>
      <c r="E207" s="9" t="s">
        <v>700</v>
      </c>
      <c r="F207" s="9">
        <v>1</v>
      </c>
      <c r="G207" s="9">
        <v>4</v>
      </c>
      <c r="H207" s="9">
        <v>4</v>
      </c>
      <c r="I207" s="9" t="s">
        <v>701</v>
      </c>
      <c r="J207" s="9" t="s">
        <v>695</v>
      </c>
    </row>
    <row r="208" spans="1:10" x14ac:dyDescent="0.25">
      <c r="A208" s="9" t="s">
        <v>675</v>
      </c>
      <c r="B208" s="9">
        <v>13</v>
      </c>
      <c r="C208" s="9">
        <v>10</v>
      </c>
      <c r="D208" s="9" t="s">
        <v>64</v>
      </c>
      <c r="E208" s="9" t="s">
        <v>702</v>
      </c>
      <c r="F208" s="9">
        <v>1</v>
      </c>
      <c r="G208" s="9">
        <v>4</v>
      </c>
      <c r="H208" s="9">
        <v>4</v>
      </c>
      <c r="I208" s="9" t="s">
        <v>703</v>
      </c>
      <c r="J208" s="9" t="s">
        <v>692</v>
      </c>
    </row>
    <row r="209" spans="1:10" x14ac:dyDescent="0.25">
      <c r="A209" s="9" t="s">
        <v>675</v>
      </c>
      <c r="B209" s="9">
        <v>14</v>
      </c>
      <c r="C209" s="9">
        <v>10</v>
      </c>
      <c r="D209" s="9" t="s">
        <v>64</v>
      </c>
      <c r="E209" s="9" t="s">
        <v>704</v>
      </c>
      <c r="F209" s="9">
        <v>1</v>
      </c>
      <c r="G209" s="9">
        <v>4</v>
      </c>
      <c r="H209" s="9">
        <v>4</v>
      </c>
      <c r="I209" s="9" t="s">
        <v>703</v>
      </c>
      <c r="J209" s="9" t="s">
        <v>705</v>
      </c>
    </row>
    <row r="210" spans="1:10" x14ac:dyDescent="0.25">
      <c r="A210" s="9" t="s">
        <v>675</v>
      </c>
      <c r="B210" s="9">
        <v>15</v>
      </c>
      <c r="C210" s="9">
        <v>41</v>
      </c>
      <c r="D210" s="9" t="s">
        <v>64</v>
      </c>
      <c r="E210" s="9" t="s">
        <v>706</v>
      </c>
      <c r="F210" s="9">
        <v>1</v>
      </c>
      <c r="G210" s="9">
        <v>2</v>
      </c>
      <c r="H210" s="9">
        <v>0</v>
      </c>
      <c r="I210" s="9" t="s">
        <v>703</v>
      </c>
      <c r="J210" s="9"/>
    </row>
    <row r="211" spans="1:10" x14ac:dyDescent="0.25">
      <c r="A211" s="9" t="s">
        <v>675</v>
      </c>
      <c r="B211" s="9">
        <v>16</v>
      </c>
      <c r="C211" s="9">
        <v>10</v>
      </c>
      <c r="D211" s="9" t="s">
        <v>64</v>
      </c>
      <c r="E211" s="9" t="s">
        <v>707</v>
      </c>
      <c r="F211" s="9">
        <v>1</v>
      </c>
      <c r="G211" s="9">
        <v>4</v>
      </c>
      <c r="H211" s="9">
        <v>4</v>
      </c>
      <c r="I211" s="9" t="s">
        <v>708</v>
      </c>
      <c r="J211" s="9" t="s">
        <v>695</v>
      </c>
    </row>
    <row r="212" spans="1:10" x14ac:dyDescent="0.25">
      <c r="A212" s="9" t="s">
        <v>675</v>
      </c>
      <c r="B212" s="9">
        <v>17</v>
      </c>
      <c r="C212" s="9">
        <v>10</v>
      </c>
      <c r="D212" s="9" t="s">
        <v>64</v>
      </c>
      <c r="E212" s="9" t="s">
        <v>709</v>
      </c>
      <c r="F212" s="9">
        <v>1</v>
      </c>
      <c r="G212" s="9">
        <v>2</v>
      </c>
      <c r="H212" s="9">
        <v>2</v>
      </c>
      <c r="I212" s="9" t="s">
        <v>710</v>
      </c>
      <c r="J212" s="9" t="s">
        <v>711</v>
      </c>
    </row>
    <row r="213" spans="1:10" x14ac:dyDescent="0.25">
      <c r="A213" s="9" t="s">
        <v>675</v>
      </c>
      <c r="B213" s="9">
        <v>18</v>
      </c>
      <c r="C213" s="9">
        <v>10</v>
      </c>
      <c r="D213" s="9" t="s">
        <v>64</v>
      </c>
      <c r="E213" s="9" t="s">
        <v>712</v>
      </c>
      <c r="F213" s="9">
        <v>1</v>
      </c>
      <c r="G213" s="9">
        <v>4</v>
      </c>
      <c r="H213" s="9">
        <v>4</v>
      </c>
      <c r="I213" s="9" t="s">
        <v>713</v>
      </c>
      <c r="J213" s="9" t="s">
        <v>705</v>
      </c>
    </row>
    <row r="214" spans="1:10" x14ac:dyDescent="0.25">
      <c r="A214" s="9" t="s">
        <v>675</v>
      </c>
      <c r="B214" s="9">
        <v>19</v>
      </c>
      <c r="C214" s="9">
        <v>41</v>
      </c>
      <c r="D214" s="9" t="s">
        <v>64</v>
      </c>
      <c r="E214" s="9" t="s">
        <v>104</v>
      </c>
      <c r="F214" s="9">
        <v>1</v>
      </c>
      <c r="G214" s="9">
        <v>2</v>
      </c>
      <c r="H214" s="9">
        <v>0</v>
      </c>
      <c r="I214" s="9" t="s">
        <v>713</v>
      </c>
      <c r="J214" s="9"/>
    </row>
    <row r="215" spans="1:10" x14ac:dyDescent="0.25">
      <c r="A215" s="9" t="s">
        <v>675</v>
      </c>
      <c r="B215" s="9">
        <v>20</v>
      </c>
      <c r="C215" s="9">
        <v>12</v>
      </c>
      <c r="D215" s="9" t="s">
        <v>5</v>
      </c>
      <c r="E215" s="9" t="s">
        <v>67</v>
      </c>
      <c r="F215" s="9">
        <v>1</v>
      </c>
      <c r="G215" s="9">
        <v>6</v>
      </c>
      <c r="H215" s="9">
        <v>0</v>
      </c>
      <c r="I215" s="9" t="s">
        <v>714</v>
      </c>
      <c r="J215" s="9" t="s">
        <v>715</v>
      </c>
    </row>
    <row r="216" spans="1:10" x14ac:dyDescent="0.25">
      <c r="A216" s="9" t="s">
        <v>675</v>
      </c>
      <c r="B216" s="9">
        <v>21</v>
      </c>
      <c r="C216" s="9">
        <v>10</v>
      </c>
      <c r="D216" s="9" t="s">
        <v>64</v>
      </c>
      <c r="E216" s="9" t="s">
        <v>716</v>
      </c>
      <c r="F216" s="9">
        <v>1</v>
      </c>
      <c r="G216" s="9">
        <v>1</v>
      </c>
      <c r="H216" s="9">
        <v>1</v>
      </c>
      <c r="I216" s="9" t="s">
        <v>677</v>
      </c>
      <c r="J216" s="9" t="s">
        <v>717</v>
      </c>
    </row>
    <row r="217" spans="1:10" x14ac:dyDescent="0.25">
      <c r="A217" s="9" t="s">
        <v>675</v>
      </c>
      <c r="B217" s="9">
        <v>22</v>
      </c>
      <c r="C217" s="9">
        <v>10</v>
      </c>
      <c r="D217" s="9"/>
      <c r="E217" s="9"/>
      <c r="F217" s="9">
        <v>1</v>
      </c>
      <c r="G217" s="9"/>
      <c r="H217" s="9"/>
      <c r="I217" s="9"/>
      <c r="J217" s="9"/>
    </row>
    <row r="218" spans="1:10" x14ac:dyDescent="0.25">
      <c r="A218" s="9" t="s">
        <v>675</v>
      </c>
      <c r="B218" s="9">
        <v>23</v>
      </c>
      <c r="C218" s="9">
        <v>10</v>
      </c>
      <c r="D218" s="9"/>
      <c r="E218" s="9"/>
      <c r="F218" s="9">
        <v>1</v>
      </c>
      <c r="G218" s="9"/>
      <c r="H218" s="9"/>
      <c r="I218" s="9"/>
      <c r="J218" s="9"/>
    </row>
    <row r="219" spans="1:10" x14ac:dyDescent="0.25">
      <c r="A219" s="9" t="s">
        <v>675</v>
      </c>
      <c r="B219" s="9">
        <v>24</v>
      </c>
      <c r="C219" s="9">
        <v>10</v>
      </c>
      <c r="D219" s="9"/>
      <c r="E219" s="9"/>
      <c r="F219" s="9">
        <v>1</v>
      </c>
      <c r="G219" s="9"/>
      <c r="H219" s="9"/>
      <c r="I219" s="9"/>
      <c r="J219" s="9"/>
    </row>
    <row r="220" spans="1:10" x14ac:dyDescent="0.25">
      <c r="A220" s="9" t="s">
        <v>675</v>
      </c>
      <c r="B220" s="9">
        <v>25</v>
      </c>
      <c r="C220" s="9">
        <v>10</v>
      </c>
      <c r="D220" s="9"/>
      <c r="E220" s="9"/>
      <c r="F220" s="9">
        <v>1</v>
      </c>
      <c r="G220" s="9"/>
      <c r="H220" s="9"/>
      <c r="I220" s="9"/>
      <c r="J220" s="9"/>
    </row>
    <row r="221" spans="1:10" x14ac:dyDescent="0.25">
      <c r="A221" s="9" t="s">
        <v>675</v>
      </c>
      <c r="B221" s="9">
        <v>25</v>
      </c>
      <c r="C221" s="9"/>
      <c r="D221" s="9"/>
      <c r="E221" s="9"/>
      <c r="F221" s="9"/>
      <c r="G221" s="9">
        <v>74</v>
      </c>
      <c r="H221" s="9">
        <v>64</v>
      </c>
      <c r="I221" s="9"/>
      <c r="J221" s="9"/>
    </row>
  </sheetData>
  <sheetProtection sheet="1" formatColumns="0" formatRows="0" autoFilter="0"/>
  <mergeCells count="1">
    <mergeCell ref="D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reate_BOM_Query">
                <anchor moveWithCells="1" sizeWithCells="1">
                  <from>
                    <xdr:col>0</xdr:col>
                    <xdr:colOff>142875</xdr:colOff>
                    <xdr:row>0</xdr:row>
                    <xdr:rowOff>114300</xdr:rowOff>
                  </from>
                  <to>
                    <xdr:col>2</xdr:col>
                    <xdr:colOff>180975</xdr:colOff>
                    <xdr:row>0</xdr:row>
                    <xdr:rowOff>647700</xdr:rowOff>
                  </to>
                </anchor>
              </controlPr>
            </control>
          </mc:Choice>
        </mc:AlternateContent>
      </controls>
    </mc:Choice>
  </mc:AlternateContent>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28A9329-724C-48F8-A26D-FCAA605AB3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Master Equipment List</vt:lpstr>
      <vt:lpstr>IO List</vt:lpstr>
      <vt:lpstr>P&amp;ID Tag List</vt:lpstr>
      <vt:lpstr>P&amp;ID Loops</vt:lpstr>
      <vt:lpstr>Utility Load Table</vt:lpstr>
      <vt:lpstr>Heat Load &amp; Noise</vt:lpstr>
      <vt:lpstr>Part Compliance</vt:lpstr>
      <vt:lpstr>All_BOM_Parts</vt:lpstr>
      <vt:lpstr>DropboxStatus</vt:lpstr>
      <vt:lpstr>Last_Synced</vt:lpstr>
      <vt:lpstr>Max_Amb_Plant_Temp</vt:lpstr>
      <vt:lpstr>Proj_Customer</vt:lpstr>
      <vt:lpstr>Proj_Folder</vt:lpstr>
      <vt:lpstr>Proj_Misc</vt:lpstr>
      <vt:lpstr>Proj_Name</vt:lpstr>
      <vt:lpstr>Proj_Number</vt:lpstr>
      <vt:lpstr>Proj_Specifications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Drew Lehman</dc:creator>
  <cp:lastModifiedBy>Drew Lehman</cp:lastModifiedBy>
  <cp:lastPrinted>2026-02-09T21:33:32Z</cp:lastPrinted>
  <dcterms:created xsi:type="dcterms:W3CDTF">2026-02-09T14:31:20Z</dcterms:created>
  <dcterms:modified xsi:type="dcterms:W3CDTF">2026-02-16T20:21:12Z</dcterms:modified>
</cp:coreProperties>
</file>